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xampp\htdocs\NiceAdmin\excel\"/>
    </mc:Choice>
  </mc:AlternateContent>
  <xr:revisionPtr revIDLastSave="0" documentId="8_{3ED142AE-3FC1-4A63-B344-55B0AC121860}" xr6:coauthVersionLast="47" xr6:coauthVersionMax="47" xr10:uidLastSave="{00000000-0000-0000-0000-000000000000}"/>
  <bookViews>
    <workbookView xWindow="-120" yWindow="-120" windowWidth="29040" windowHeight="15720" xr2:uid="{82502CBB-3675-4865-BB64-FA7F1A1AF26E}"/>
  </bookViews>
  <sheets>
    <sheet name="tbl_consultation" sheetId="2" r:id="rId1"/>
    <sheet name="DashBoard" sheetId="1" r:id="rId2"/>
    <sheet name="Sheet2" sheetId="3" r:id="rId3"/>
    <sheet name="Sheet3" sheetId="4" r:id="rId4"/>
    <sheet name="Sheet4" sheetId="5" r:id="rId5"/>
    <sheet name="Sheet5" sheetId="6" r:id="rId6"/>
    <sheet name="Sheet6" sheetId="7" r:id="rId7"/>
    <sheet name="Sheet9" sheetId="10" r:id="rId8"/>
  </sheets>
  <definedNames>
    <definedName name="ExternalData_1" localSheetId="0" hidden="1">tbl_consultation!$A$1:$J$28</definedName>
    <definedName name="Slicer_date_consultation">#N/A</definedName>
    <definedName name="Slicer_reason_for_consultat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55F958-18E0-4D66-8655-D69F675BFB3F}" keepAlive="1" name="Query - tbl_consultation" description="Connection to the 'tbl_consultation' query in the workbook." type="5" refreshedVersion="8" background="1" saveData="1">
    <dbPr connection="Provider=Microsoft.Mashup.OleDb.1;Data Source=$Workbook$;Location=tbl_consultation;Extended Properties=&quot;&quot;" command="SELECT * FROM [tbl_consultation]"/>
  </connection>
</connections>
</file>

<file path=xl/sharedStrings.xml><?xml version="1.0" encoding="utf-8"?>
<sst xmlns="http://schemas.openxmlformats.org/spreadsheetml/2006/main" count="279" uniqueCount="133">
  <si>
    <t>consultation_id</t>
  </si>
  <si>
    <t>full_name</t>
  </si>
  <si>
    <t>age</t>
  </si>
  <si>
    <t>gender</t>
  </si>
  <si>
    <t>barangay</t>
  </si>
  <si>
    <t>complete_address</t>
  </si>
  <si>
    <t>reason_for_consultation</t>
  </si>
  <si>
    <t>main_reason</t>
  </si>
  <si>
    <t>intensity</t>
  </si>
  <si>
    <t>date_consultation</t>
  </si>
  <si>
    <t>Victor Odarve</t>
  </si>
  <si>
    <t>Male</t>
  </si>
  <si>
    <t>lumbia</t>
  </si>
  <si>
    <t>Xavier Ecoville, Lumbia Cagayan de Oro</t>
  </si>
  <si>
    <t>pain</t>
  </si>
  <si>
    <t>Sakit kay iyang gi buhat sako</t>
  </si>
  <si>
    <t>severe</t>
  </si>
  <si>
    <t>Gabriel, Madridano</t>
  </si>
  <si>
    <t>balulang</t>
  </si>
  <si>
    <t xml:space="preserve">taguanao, Cagayan de Oro </t>
  </si>
  <si>
    <t>fever</t>
  </si>
  <si>
    <t>hilantanon inig dili maka sigarilyo</t>
  </si>
  <si>
    <t>Japhet, Doroin</t>
  </si>
  <si>
    <t>cough_cold</t>
  </si>
  <si>
    <t>cold nakay sya sako</t>
  </si>
  <si>
    <t>Burbur, Lights</t>
  </si>
  <si>
    <t>canito-an</t>
  </si>
  <si>
    <t>Canito-an, Cagayan de Oro</t>
  </si>
  <si>
    <t>followup</t>
  </si>
  <si>
    <t>follow up sa tambal sako anak</t>
  </si>
  <si>
    <t>others</t>
  </si>
  <si>
    <t>Ren, Dosol</t>
  </si>
  <si>
    <t>wound7</t>
  </si>
  <si>
    <t>disgrasya motor bali ako tiil</t>
  </si>
  <si>
    <t>Harle Jean, Bruce</t>
  </si>
  <si>
    <t>Female</t>
  </si>
  <si>
    <t>consolacion</t>
  </si>
  <si>
    <t>Consolacion, Cagayan de Oro</t>
  </si>
  <si>
    <t>bp_check</t>
  </si>
  <si>
    <t>Highblooron kayo murag bae</t>
  </si>
  <si>
    <t>moderate</t>
  </si>
  <si>
    <t>Juan Dela Cruz</t>
  </si>
  <si>
    <t>carmen</t>
  </si>
  <si>
    <t>Zone 3, Carmen</t>
  </si>
  <si>
    <t>checkup</t>
  </si>
  <si>
    <t>Routine health check</t>
  </si>
  <si>
    <t>mild</t>
  </si>
  <si>
    <t>Maria Santos</t>
  </si>
  <si>
    <t>Phase 1</t>
  </si>
  <si>
    <t>Cough &amp; clogged nose</t>
  </si>
  <si>
    <t>Leo Ramirez</t>
  </si>
  <si>
    <t>bugo</t>
  </si>
  <si>
    <t>Riverside, Bugo</t>
  </si>
  <si>
    <t>Minor cut on foot</t>
  </si>
  <si>
    <t>Angela Flores</t>
  </si>
  <si>
    <t>lapasan</t>
  </si>
  <si>
    <t>Village A, Lapasan</t>
  </si>
  <si>
    <t>Migraine</t>
  </si>
  <si>
    <t>Carlo Gutierrez</t>
  </si>
  <si>
    <t>macasandig</t>
  </si>
  <si>
    <t>Zone 5, Macasandig</t>
  </si>
  <si>
    <t>High BP monitoring</t>
  </si>
  <si>
    <t>Nina Olarte</t>
  </si>
  <si>
    <t>gusa</t>
  </si>
  <si>
    <t>Zone 2, Gusa</t>
  </si>
  <si>
    <t>medication</t>
  </si>
  <si>
    <t>Refill for migraine meds</t>
  </si>
  <si>
    <t>Ryan Villanueva</t>
  </si>
  <si>
    <t>puerto</t>
  </si>
  <si>
    <t>Purok 4, Puerto</t>
  </si>
  <si>
    <t>Back pain</t>
  </si>
  <si>
    <t>Melissa Tan</t>
  </si>
  <si>
    <t>camaman-an</t>
  </si>
  <si>
    <t>Upper, Camaman-an</t>
  </si>
  <si>
    <t>skin</t>
  </si>
  <si>
    <t>Skin allergy</t>
  </si>
  <si>
    <t>Patrick Gomez</t>
  </si>
  <si>
    <t>Zone, Canito-an</t>
  </si>
  <si>
    <t>BP evaluation</t>
  </si>
  <si>
    <t>Jenna Ramos</t>
  </si>
  <si>
    <t>nazareth</t>
  </si>
  <si>
    <t>6th Street, Nazareth</t>
  </si>
  <si>
    <t>Sore throat</t>
  </si>
  <si>
    <t>Daniel Lee</t>
  </si>
  <si>
    <t>cugman</t>
  </si>
  <si>
    <t>Sitio Luna, Cugman</t>
  </si>
  <si>
    <t>Sleep issue check</t>
  </si>
  <si>
    <t>Krisha Bandojo</t>
  </si>
  <si>
    <t>patag</t>
  </si>
  <si>
    <t>Block 8, Patag</t>
  </si>
  <si>
    <t>Chest discomfort</t>
  </si>
  <si>
    <t>Mark Salcedo</t>
  </si>
  <si>
    <t>Others</t>
  </si>
  <si>
    <t>indahag</t>
  </si>
  <si>
    <t>Zone 1, Indahag</t>
  </si>
  <si>
    <t>Shoulder pain</t>
  </si>
  <si>
    <t>japjap, doroin</t>
  </si>
  <si>
    <t>bonbon</t>
  </si>
  <si>
    <t>punta, bonbon</t>
  </si>
  <si>
    <t>cold nakay si honey sako</t>
  </si>
  <si>
    <t>Ogag ko</t>
  </si>
  <si>
    <t>agusan</t>
  </si>
  <si>
    <t>Zone 2, Agusan</t>
  </si>
  <si>
    <t>ga marijuana ko</t>
  </si>
  <si>
    <t>buang ko</t>
  </si>
  <si>
    <t>baikingon</t>
  </si>
  <si>
    <t>Baikingon</t>
  </si>
  <si>
    <t xml:space="preserve">highblood ko </t>
  </si>
  <si>
    <t>Row Labels</t>
  </si>
  <si>
    <t>Grand Total</t>
  </si>
  <si>
    <t>Count of barangay</t>
  </si>
  <si>
    <t>Count of gender</t>
  </si>
  <si>
    <t>Count of reason_for_consultation</t>
  </si>
  <si>
    <t>bagak alimaping</t>
  </si>
  <si>
    <t>Palalan, Lumbia</t>
  </si>
  <si>
    <t>nasamad ang sampot</t>
  </si>
  <si>
    <t>Count of intensity</t>
  </si>
  <si>
    <t>Jan</t>
  </si>
  <si>
    <t>Dec</t>
  </si>
  <si>
    <t>Count of date_consultation</t>
  </si>
  <si>
    <t>animal ko</t>
  </si>
  <si>
    <t>Market, Carmen</t>
  </si>
  <si>
    <t>ubo ug sip on</t>
  </si>
  <si>
    <t>james harden</t>
  </si>
  <si>
    <t xml:space="preserve">Vamenta, Carmen </t>
  </si>
  <si>
    <t>gi train nasakitan</t>
  </si>
  <si>
    <t>LEBRON JAMES</t>
  </si>
  <si>
    <t>Lumbia cdo</t>
  </si>
  <si>
    <t>kagid</t>
  </si>
  <si>
    <t>Stephen kokoy</t>
  </si>
  <si>
    <t>Raagas, Bonbon</t>
  </si>
  <si>
    <t xml:space="preserve">sakit likod </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</si>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</sst>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0"/>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2" borderId="0" xfId="0" applyFont="1" applyFill="1"/>
    <xf numFmtId="0" fontId="1" fillId="3" borderId="0" xfId="0" applyFont="1" applyFill="1" applyAlignment="1">
      <alignment horizontal="center" vertical="center"/>
    </xf>
    <xf numFmtId="14" fontId="0" fillId="0" borderId="0" xfId="0" applyNumberFormat="1" applyAlignment="1">
      <alignment horizontal="left" indent="1"/>
    </xf>
    <xf numFmtId="0" fontId="0" fillId="0" borderId="0" xfId="0" applyNumberFormat="1"/>
  </cellXfs>
  <cellStyles count="1">
    <cellStyle name="Normal" xfId="0" builtinId="0"/>
  </cellStyles>
  <dxfs count="8">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[bushit.xlsx]Sheet2!PivotTable1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BARANGAY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Sheet2!$A$4:$A$22</c:f>
              <c:strCache>
                <c:ptCount val="18"/>
                <c:pt idx="0">
                  <c:v>agusan</c:v>
                </c:pt>
                <c:pt idx="1">
                  <c:v>baikingon</c:v>
                </c:pt>
                <c:pt idx="2">
                  <c:v>balulang</c:v>
                </c:pt>
                <c:pt idx="3">
                  <c:v>bonbon</c:v>
                </c:pt>
                <c:pt idx="4">
                  <c:v>bugo</c:v>
                </c:pt>
                <c:pt idx="5">
                  <c:v>camaman-an</c:v>
                </c:pt>
                <c:pt idx="6">
                  <c:v>canito-an</c:v>
                </c:pt>
                <c:pt idx="7">
                  <c:v>carmen</c:v>
                </c:pt>
                <c:pt idx="8">
                  <c:v>consolacion</c:v>
                </c:pt>
                <c:pt idx="9">
                  <c:v>cugman</c:v>
                </c:pt>
                <c:pt idx="10">
                  <c:v>gusa</c:v>
                </c:pt>
                <c:pt idx="11">
                  <c:v>indahag</c:v>
                </c:pt>
                <c:pt idx="12">
                  <c:v>lapasan</c:v>
                </c:pt>
                <c:pt idx="13">
                  <c:v>lumbia</c:v>
                </c:pt>
                <c:pt idx="14">
                  <c:v>macasandig</c:v>
                </c:pt>
                <c:pt idx="15">
                  <c:v>nazareth</c:v>
                </c:pt>
                <c:pt idx="16">
                  <c:v>patag</c:v>
                </c:pt>
                <c:pt idx="17">
                  <c:v>puerto</c:v>
                </c:pt>
              </c:strCache>
            </c:strRef>
          </c:cat>
          <c:val>
            <c:numRef>
              <c:f>Sheet2!$B$4:$B$22</c:f>
              <c:numCache>
                <c:formatCode>General</c:formatCode>
                <c:ptCount val="18"/>
                <c:pt idx="0">
                  <c:v>1</c:v>
                </c:pt>
                <c:pt idx="1">
                  <c:v>1</c:v>
                </c:pt>
                <c:pt idx="2">
                  <c:v>2</c:v>
                </c:pt>
                <c:pt idx="3">
                  <c:v>1</c:v>
                </c:pt>
                <c:pt idx="4">
                  <c:v>1</c:v>
                </c:pt>
                <c:pt idx="5">
                  <c:v>1</c:v>
                </c:pt>
                <c:pt idx="6">
                  <c:v>3</c:v>
                </c:pt>
                <c:pt idx="7">
                  <c:v>2</c:v>
                </c:pt>
                <c:pt idx="8">
                  <c:v>1</c:v>
                </c:pt>
                <c:pt idx="9">
                  <c:v>1</c:v>
                </c:pt>
                <c:pt idx="10">
                  <c:v>1</c:v>
                </c:pt>
                <c:pt idx="11">
                  <c:v>1</c:v>
                </c:pt>
                <c:pt idx="12">
                  <c:v>1</c:v>
                </c:pt>
                <c:pt idx="13">
                  <c:v>4</c:v>
                </c:pt>
                <c:pt idx="14">
                  <c:v>1</c:v>
                </c:pt>
                <c:pt idx="15">
                  <c:v>1</c:v>
                </c:pt>
                <c:pt idx="16">
                  <c:v>1</c:v>
                </c:pt>
                <c:pt idx="17">
                  <c:v>1</c:v>
                </c:pt>
              </c:numCache>
            </c:numRef>
          </c:val>
          <c:extLst>
            <c:ext xmlns:c16="http://schemas.microsoft.com/office/drawing/2014/chart" uri="{C3380CC4-5D6E-409C-BE32-E72D297353CC}">
              <c16:uniqueId val="{00000000-8426-4A1C-8016-E095954026E1}"/>
            </c:ext>
          </c:extLst>
        </c:ser>
        <c:dLbls>
          <c:showLegendKey val="0"/>
          <c:showVal val="0"/>
          <c:showCatName val="0"/>
          <c:showSerName val="0"/>
          <c:showPercent val="0"/>
          <c:showBubbleSize val="0"/>
        </c:dLbls>
        <c:gapWidth val="65"/>
        <c:shape val="box"/>
        <c:axId val="640590543"/>
        <c:axId val="640590063"/>
        <c:axId val="0"/>
      </c:bar3DChart>
      <c:catAx>
        <c:axId val="6405905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0590063"/>
        <c:crosses val="autoZero"/>
        <c:auto val="1"/>
        <c:lblAlgn val="ctr"/>
        <c:lblOffset val="100"/>
        <c:noMultiLvlLbl val="0"/>
      </c:catAx>
      <c:valAx>
        <c:axId val="6405900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059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tx1"/>
            </a:solidFill>
          </a:ln>
          <a:effectLst/>
          <a:sp3d contourW="254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tx1"/>
            </a:solidFill>
          </a:ln>
          <a:effectLst/>
          <a:sp3d contourW="25400">
            <a:contourClr>
              <a:schemeClr val="tx1"/>
            </a:contourClr>
          </a:sp3d>
        </c:spPr>
      </c:pivotFmt>
      <c:pivotFmt>
        <c:idx val="7"/>
        <c:spPr>
          <a:solidFill>
            <a:schemeClr val="accent1"/>
          </a:solidFill>
          <a:ln w="25400">
            <a:solidFill>
              <a:schemeClr val="tx1"/>
            </a:solidFill>
          </a:ln>
          <a:effectLst/>
          <a:sp3d contourW="25400">
            <a:contourClr>
              <a:schemeClr val="tx1"/>
            </a:contourClr>
          </a:sp3d>
        </c:spPr>
      </c:pivotFmt>
      <c:pivotFmt>
        <c:idx val="8"/>
        <c:spPr>
          <a:solidFill>
            <a:schemeClr val="accent1"/>
          </a:solidFill>
          <a:ln w="25400">
            <a:solidFill>
              <a:schemeClr val="tx1"/>
            </a:solidFill>
          </a:ln>
          <a:effectLst/>
          <a:sp3d contourW="25400">
            <a:contourClr>
              <a:schemeClr val="tx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spPr>
            <a:ln>
              <a:solidFill>
                <a:schemeClr val="tx1"/>
              </a:solidFill>
            </a:ln>
          </c:spPr>
          <c:dPt>
            <c:idx val="0"/>
            <c:bubble3D val="0"/>
            <c:spPr>
              <a:solidFill>
                <a:schemeClr val="accent1"/>
              </a:solidFill>
              <a:ln w="25400">
                <a:solidFill>
                  <a:schemeClr val="tx1"/>
                </a:solidFill>
              </a:ln>
              <a:effectLst/>
              <a:sp3d contourW="25400">
                <a:contourClr>
                  <a:schemeClr val="tx1"/>
                </a:contourClr>
              </a:sp3d>
            </c:spPr>
            <c:extLst>
              <c:ext xmlns:c16="http://schemas.microsoft.com/office/drawing/2014/chart" uri="{C3380CC4-5D6E-409C-BE32-E72D297353CC}">
                <c16:uniqueId val="{00000001-A995-4A10-A040-FCD784B11014}"/>
              </c:ext>
            </c:extLst>
          </c:dPt>
          <c:dPt>
            <c:idx val="1"/>
            <c:bubble3D val="0"/>
            <c:spPr>
              <a:solidFill>
                <a:schemeClr val="accent2"/>
              </a:solidFill>
              <a:ln w="25400">
                <a:solidFill>
                  <a:schemeClr val="tx1"/>
                </a:solidFill>
              </a:ln>
              <a:effectLst/>
              <a:sp3d contourW="25400">
                <a:contourClr>
                  <a:schemeClr val="tx1"/>
                </a:contourClr>
              </a:sp3d>
            </c:spPr>
            <c:extLst>
              <c:ext xmlns:c16="http://schemas.microsoft.com/office/drawing/2014/chart" uri="{C3380CC4-5D6E-409C-BE32-E72D297353CC}">
                <c16:uniqueId val="{00000003-A995-4A10-A040-FCD784B11014}"/>
              </c:ext>
            </c:extLst>
          </c:dPt>
          <c:dPt>
            <c:idx val="2"/>
            <c:bubble3D val="0"/>
            <c:spPr>
              <a:solidFill>
                <a:schemeClr val="accent3"/>
              </a:solidFill>
              <a:ln w="25400">
                <a:solidFill>
                  <a:schemeClr val="tx1"/>
                </a:solidFill>
              </a:ln>
              <a:effectLst/>
              <a:sp3d contourW="25400">
                <a:contourClr>
                  <a:schemeClr val="tx1"/>
                </a:contourClr>
              </a:sp3d>
            </c:spPr>
            <c:extLst>
              <c:ext xmlns:c16="http://schemas.microsoft.com/office/drawing/2014/chart" uri="{C3380CC4-5D6E-409C-BE32-E72D297353CC}">
                <c16:uniqueId val="{00000005-A995-4A10-A040-FCD784B11014}"/>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Female</c:v>
                </c:pt>
                <c:pt idx="1">
                  <c:v>Male</c:v>
                </c:pt>
                <c:pt idx="2">
                  <c:v>Others</c:v>
                </c:pt>
              </c:strCache>
            </c:strRef>
          </c:cat>
          <c:val>
            <c:numRef>
              <c:f>Sheet3!$B$4:$B$7</c:f>
              <c:numCache>
                <c:formatCode>General</c:formatCode>
                <c:ptCount val="3"/>
                <c:pt idx="0">
                  <c:v>8</c:v>
                </c:pt>
                <c:pt idx="1">
                  <c:v>14</c:v>
                </c:pt>
                <c:pt idx="2">
                  <c:v>3</c:v>
                </c:pt>
              </c:numCache>
            </c:numRef>
          </c:val>
          <c:extLst>
            <c:ext xmlns:c16="http://schemas.microsoft.com/office/drawing/2014/chart" uri="{C3380CC4-5D6E-409C-BE32-E72D297353CC}">
              <c16:uniqueId val="{00000006-A995-4A10-A040-FCD784B1101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[bushit.xlsx]Sheet4!PivotTable4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REASONS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Sheet4!$A$4:$A$13</c:f>
              <c:strCache>
                <c:ptCount val="9"/>
                <c:pt idx="0">
                  <c:v>bp_check</c:v>
                </c:pt>
                <c:pt idx="1">
                  <c:v>checkup</c:v>
                </c:pt>
                <c:pt idx="2">
                  <c:v>cough_cold</c:v>
                </c:pt>
                <c:pt idx="3">
                  <c:v>fever</c:v>
                </c:pt>
                <c:pt idx="4">
                  <c:v>followup</c:v>
                </c:pt>
                <c:pt idx="5">
                  <c:v>medication</c:v>
                </c:pt>
                <c:pt idx="6">
                  <c:v>pain</c:v>
                </c:pt>
                <c:pt idx="7">
                  <c:v>skin</c:v>
                </c:pt>
                <c:pt idx="8">
                  <c:v>wound7</c:v>
                </c:pt>
              </c:strCache>
            </c:strRef>
          </c:cat>
          <c:val>
            <c:numRef>
              <c:f>Sheet4!$B$4:$B$13</c:f>
              <c:numCache>
                <c:formatCode>General</c:formatCode>
                <c:ptCount val="9"/>
                <c:pt idx="0">
                  <c:v>4</c:v>
                </c:pt>
                <c:pt idx="1">
                  <c:v>1</c:v>
                </c:pt>
                <c:pt idx="2">
                  <c:v>5</c:v>
                </c:pt>
                <c:pt idx="3">
                  <c:v>1</c:v>
                </c:pt>
                <c:pt idx="4">
                  <c:v>2</c:v>
                </c:pt>
                <c:pt idx="5">
                  <c:v>2</c:v>
                </c:pt>
                <c:pt idx="6">
                  <c:v>5</c:v>
                </c:pt>
                <c:pt idx="7">
                  <c:v>2</c:v>
                </c:pt>
                <c:pt idx="8">
                  <c:v>3</c:v>
                </c:pt>
              </c:numCache>
            </c:numRef>
          </c:val>
          <c:extLst>
            <c:ext xmlns:c16="http://schemas.microsoft.com/office/drawing/2014/chart" uri="{C3380CC4-5D6E-409C-BE32-E72D297353CC}">
              <c16:uniqueId val="{00000000-ABB0-4696-B218-5AAE8A0F480D}"/>
            </c:ext>
          </c:extLst>
        </c:ser>
        <c:dLbls>
          <c:showLegendKey val="0"/>
          <c:showVal val="0"/>
          <c:showCatName val="0"/>
          <c:showSerName val="0"/>
          <c:showPercent val="0"/>
          <c:showBubbleSize val="0"/>
        </c:dLbls>
        <c:gapWidth val="65"/>
        <c:shape val="box"/>
        <c:axId val="645899647"/>
        <c:axId val="645897727"/>
        <c:axId val="0"/>
      </c:bar3DChart>
      <c:catAx>
        <c:axId val="6458996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5897727"/>
        <c:crosses val="autoZero"/>
        <c:auto val="1"/>
        <c:lblAlgn val="ctr"/>
        <c:lblOffset val="100"/>
        <c:noMultiLvlLbl val="0"/>
      </c:catAx>
      <c:valAx>
        <c:axId val="64589772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589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[bushit.xlsx]Sheet5!PivotTable5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INTENSITY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Sheet5!$A$4:$A$8</c:f>
              <c:strCache>
                <c:ptCount val="4"/>
                <c:pt idx="0">
                  <c:v>mild</c:v>
                </c:pt>
                <c:pt idx="1">
                  <c:v>moderate</c:v>
                </c:pt>
                <c:pt idx="2">
                  <c:v>others</c:v>
                </c:pt>
                <c:pt idx="3">
                  <c:v>severe</c:v>
                </c:pt>
              </c:strCache>
            </c:strRef>
          </c:cat>
          <c:val>
            <c:numRef>
              <c:f>Sheet5!$B$4:$B$8</c:f>
              <c:numCache>
                <c:formatCode>General</c:formatCode>
                <c:ptCount val="4"/>
                <c:pt idx="0">
                  <c:v>9</c:v>
                </c:pt>
                <c:pt idx="1">
                  <c:v>8</c:v>
                </c:pt>
                <c:pt idx="2">
                  <c:v>2</c:v>
                </c:pt>
                <c:pt idx="3">
                  <c:v>6</c:v>
                </c:pt>
              </c:numCache>
            </c:numRef>
          </c:val>
          <c:extLst>
            <c:ext xmlns:c16="http://schemas.microsoft.com/office/drawing/2014/chart" uri="{C3380CC4-5D6E-409C-BE32-E72D297353CC}">
              <c16:uniqueId val="{00000000-046E-489B-9AED-7035808B8165}"/>
            </c:ext>
          </c:extLst>
        </c:ser>
        <c:dLbls>
          <c:showLegendKey val="0"/>
          <c:showVal val="0"/>
          <c:showCatName val="0"/>
          <c:showSerName val="0"/>
          <c:showPercent val="0"/>
          <c:showBubbleSize val="0"/>
        </c:dLbls>
        <c:gapWidth val="65"/>
        <c:shape val="box"/>
        <c:axId val="1216383743"/>
        <c:axId val="1216385663"/>
        <c:axId val="0"/>
      </c:bar3DChart>
      <c:catAx>
        <c:axId val="12163837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16385663"/>
        <c:crosses val="autoZero"/>
        <c:auto val="1"/>
        <c:lblAlgn val="ctr"/>
        <c:lblOffset val="100"/>
        <c:noMultiLvlLbl val="0"/>
      </c:catAx>
      <c:valAx>
        <c:axId val="121638566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1638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[bushit.xlsx]Sheet6!PivotTable6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CONSULTATIONS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Sheet6!$A$4:$A$7</c:f>
              <c:strCache>
                <c:ptCount val="3"/>
                <c:pt idx="0">
                  <c:v>Jan</c:v>
                </c:pt>
                <c:pt idx="1">
                  <c:v>Feb</c:v>
                </c:pt>
                <c:pt idx="2">
                  <c:v>Dec</c:v>
                </c:pt>
              </c:strCache>
            </c:strRef>
          </c:cat>
          <c:val>
            <c:numRef>
              <c:f>Sheet6!$B$4:$B$7</c:f>
              <c:numCache>
                <c:formatCode>General</c:formatCode>
                <c:ptCount val="3"/>
                <c:pt idx="0">
                  <c:v>12</c:v>
                </c:pt>
                <c:pt idx="1">
                  <c:v>1</c:v>
                </c:pt>
                <c:pt idx="2">
                  <c:v>12</c:v>
                </c:pt>
              </c:numCache>
            </c:numRef>
          </c:val>
          <c:smooth val="0"/>
          <c:extLst>
            <c:ext xmlns:c16="http://schemas.microsoft.com/office/drawing/2014/chart" uri="{C3380CC4-5D6E-409C-BE32-E72D297353CC}">
              <c16:uniqueId val="{00000000-2928-466A-98B9-0DA6AF73894C}"/>
            </c:ext>
          </c:extLst>
        </c:ser>
        <c:dLbls>
          <c:showLegendKey val="0"/>
          <c:showVal val="0"/>
          <c:showCatName val="0"/>
          <c:showSerName val="0"/>
          <c:showPercent val="0"/>
          <c:showBubbleSize val="0"/>
        </c:dLbls>
        <c:marker val="1"/>
        <c:smooth val="0"/>
        <c:axId val="4015599"/>
        <c:axId val="1586062159"/>
      </c:lineChart>
      <c:catAx>
        <c:axId val="4015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62159"/>
        <c:crosses val="autoZero"/>
        <c:auto val="1"/>
        <c:lblAlgn val="ctr"/>
        <c:lblOffset val="100"/>
        <c:noMultiLvlLbl val="0"/>
      </c:catAx>
      <c:valAx>
        <c:axId val="158606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Sheet2!$A$4:$A$22</c:f>
              <c:strCache>
                <c:ptCount val="18"/>
                <c:pt idx="0">
                  <c:v>agusan</c:v>
                </c:pt>
                <c:pt idx="1">
                  <c:v>baikingon</c:v>
                </c:pt>
                <c:pt idx="2">
                  <c:v>balulang</c:v>
                </c:pt>
                <c:pt idx="3">
                  <c:v>bonbon</c:v>
                </c:pt>
                <c:pt idx="4">
                  <c:v>bugo</c:v>
                </c:pt>
                <c:pt idx="5">
                  <c:v>camaman-an</c:v>
                </c:pt>
                <c:pt idx="6">
                  <c:v>canito-an</c:v>
                </c:pt>
                <c:pt idx="7">
                  <c:v>carmen</c:v>
                </c:pt>
                <c:pt idx="8">
                  <c:v>consolacion</c:v>
                </c:pt>
                <c:pt idx="9">
                  <c:v>cugman</c:v>
                </c:pt>
                <c:pt idx="10">
                  <c:v>gusa</c:v>
                </c:pt>
                <c:pt idx="11">
                  <c:v>indahag</c:v>
                </c:pt>
                <c:pt idx="12">
                  <c:v>lapasan</c:v>
                </c:pt>
                <c:pt idx="13">
                  <c:v>lumbia</c:v>
                </c:pt>
                <c:pt idx="14">
                  <c:v>macasandig</c:v>
                </c:pt>
                <c:pt idx="15">
                  <c:v>nazareth</c:v>
                </c:pt>
                <c:pt idx="16">
                  <c:v>patag</c:v>
                </c:pt>
                <c:pt idx="17">
                  <c:v>puerto</c:v>
                </c:pt>
              </c:strCache>
            </c:strRef>
          </c:cat>
          <c:val>
            <c:numRef>
              <c:f>Sheet2!$B$4:$B$22</c:f>
              <c:numCache>
                <c:formatCode>General</c:formatCode>
                <c:ptCount val="18"/>
                <c:pt idx="0">
                  <c:v>1</c:v>
                </c:pt>
                <c:pt idx="1">
                  <c:v>1</c:v>
                </c:pt>
                <c:pt idx="2">
                  <c:v>2</c:v>
                </c:pt>
                <c:pt idx="3">
                  <c:v>1</c:v>
                </c:pt>
                <c:pt idx="4">
                  <c:v>1</c:v>
                </c:pt>
                <c:pt idx="5">
                  <c:v>1</c:v>
                </c:pt>
                <c:pt idx="6">
                  <c:v>3</c:v>
                </c:pt>
                <c:pt idx="7">
                  <c:v>2</c:v>
                </c:pt>
                <c:pt idx="8">
                  <c:v>1</c:v>
                </c:pt>
                <c:pt idx="9">
                  <c:v>1</c:v>
                </c:pt>
                <c:pt idx="10">
                  <c:v>1</c:v>
                </c:pt>
                <c:pt idx="11">
                  <c:v>1</c:v>
                </c:pt>
                <c:pt idx="12">
                  <c:v>1</c:v>
                </c:pt>
                <c:pt idx="13">
                  <c:v>4</c:v>
                </c:pt>
                <c:pt idx="14">
                  <c:v>1</c:v>
                </c:pt>
                <c:pt idx="15">
                  <c:v>1</c:v>
                </c:pt>
                <c:pt idx="16">
                  <c:v>1</c:v>
                </c:pt>
                <c:pt idx="17">
                  <c:v>1</c:v>
                </c:pt>
              </c:numCache>
            </c:numRef>
          </c:val>
          <c:extLst>
            <c:ext xmlns:c16="http://schemas.microsoft.com/office/drawing/2014/chart" uri="{C3380CC4-5D6E-409C-BE32-E72D297353CC}">
              <c16:uniqueId val="{00000000-4807-424B-8A3F-B3312C39488F}"/>
            </c:ext>
          </c:extLst>
        </c:ser>
        <c:dLbls>
          <c:showLegendKey val="0"/>
          <c:showVal val="0"/>
          <c:showCatName val="0"/>
          <c:showSerName val="0"/>
          <c:showPercent val="0"/>
          <c:showBubbleSize val="0"/>
        </c:dLbls>
        <c:gapWidth val="150"/>
        <c:shape val="box"/>
        <c:axId val="640590543"/>
        <c:axId val="640590063"/>
        <c:axId val="0"/>
      </c:bar3DChart>
      <c:catAx>
        <c:axId val="640590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590063"/>
        <c:crosses val="autoZero"/>
        <c:auto val="1"/>
        <c:lblAlgn val="ctr"/>
        <c:lblOffset val="100"/>
        <c:noMultiLvlLbl val="0"/>
      </c:catAx>
      <c:valAx>
        <c:axId val="64059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59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58D-4EE2-96A1-7F95E48D0A0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58D-4EE2-96A1-7F95E48D0A04}"/>
              </c:ext>
            </c:extLst>
          </c:dPt>
          <c:dPt>
            <c:idx val="2"/>
            <c:bubble3D val="0"/>
            <c:spPr>
              <a:solidFill>
                <a:schemeClr val="accent3"/>
              </a:solidFill>
              <a:ln w="25400">
                <a:solidFill>
                  <a:schemeClr val="lt1"/>
                </a:solidFill>
              </a:ln>
              <a:effectLst/>
              <a:sp3d contourW="25400">
                <a:contourClr>
                  <a:schemeClr val="lt1"/>
                </a:contourClr>
              </a:sp3d>
            </c:spPr>
          </c:dPt>
          <c:cat>
            <c:strRef>
              <c:f>Sheet3!$A$4:$A$7</c:f>
              <c:strCache>
                <c:ptCount val="3"/>
                <c:pt idx="0">
                  <c:v>Female</c:v>
                </c:pt>
                <c:pt idx="1">
                  <c:v>Male</c:v>
                </c:pt>
                <c:pt idx="2">
                  <c:v>Others</c:v>
                </c:pt>
              </c:strCache>
            </c:strRef>
          </c:cat>
          <c:val>
            <c:numRef>
              <c:f>Sheet3!$B$4:$B$7</c:f>
              <c:numCache>
                <c:formatCode>General</c:formatCode>
                <c:ptCount val="3"/>
                <c:pt idx="0">
                  <c:v>8</c:v>
                </c:pt>
                <c:pt idx="1">
                  <c:v>14</c:v>
                </c:pt>
                <c:pt idx="2">
                  <c:v>3</c:v>
                </c:pt>
              </c:numCache>
            </c:numRef>
          </c:val>
          <c:extLst>
            <c:ext xmlns:c16="http://schemas.microsoft.com/office/drawing/2014/chart" uri="{C3380CC4-5D6E-409C-BE32-E72D297353CC}">
              <c16:uniqueId val="{00000000-175A-488B-8B08-2F3F2F2463B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Sheet4!$A$4:$A$13</c:f>
              <c:strCache>
                <c:ptCount val="9"/>
                <c:pt idx="0">
                  <c:v>bp_check</c:v>
                </c:pt>
                <c:pt idx="1">
                  <c:v>checkup</c:v>
                </c:pt>
                <c:pt idx="2">
                  <c:v>cough_cold</c:v>
                </c:pt>
                <c:pt idx="3">
                  <c:v>fever</c:v>
                </c:pt>
                <c:pt idx="4">
                  <c:v>followup</c:v>
                </c:pt>
                <c:pt idx="5">
                  <c:v>medication</c:v>
                </c:pt>
                <c:pt idx="6">
                  <c:v>pain</c:v>
                </c:pt>
                <c:pt idx="7">
                  <c:v>skin</c:v>
                </c:pt>
                <c:pt idx="8">
                  <c:v>wound7</c:v>
                </c:pt>
              </c:strCache>
            </c:strRef>
          </c:cat>
          <c:val>
            <c:numRef>
              <c:f>Sheet4!$B$4:$B$13</c:f>
              <c:numCache>
                <c:formatCode>General</c:formatCode>
                <c:ptCount val="9"/>
                <c:pt idx="0">
                  <c:v>4</c:v>
                </c:pt>
                <c:pt idx="1">
                  <c:v>1</c:v>
                </c:pt>
                <c:pt idx="2">
                  <c:v>5</c:v>
                </c:pt>
                <c:pt idx="3">
                  <c:v>1</c:v>
                </c:pt>
                <c:pt idx="4">
                  <c:v>2</c:v>
                </c:pt>
                <c:pt idx="5">
                  <c:v>2</c:v>
                </c:pt>
                <c:pt idx="6">
                  <c:v>5</c:v>
                </c:pt>
                <c:pt idx="7">
                  <c:v>2</c:v>
                </c:pt>
                <c:pt idx="8">
                  <c:v>3</c:v>
                </c:pt>
              </c:numCache>
            </c:numRef>
          </c:val>
          <c:extLst>
            <c:ext xmlns:c16="http://schemas.microsoft.com/office/drawing/2014/chart" uri="{C3380CC4-5D6E-409C-BE32-E72D297353CC}">
              <c16:uniqueId val="{00000000-AF12-4D28-B572-C25FA974C972}"/>
            </c:ext>
          </c:extLst>
        </c:ser>
        <c:dLbls>
          <c:showLegendKey val="0"/>
          <c:showVal val="0"/>
          <c:showCatName val="0"/>
          <c:showSerName val="0"/>
          <c:showPercent val="0"/>
          <c:showBubbleSize val="0"/>
        </c:dLbls>
        <c:gapWidth val="150"/>
        <c:shape val="box"/>
        <c:axId val="645899647"/>
        <c:axId val="645897727"/>
        <c:axId val="0"/>
      </c:bar3DChart>
      <c:catAx>
        <c:axId val="645899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97727"/>
        <c:crosses val="autoZero"/>
        <c:auto val="1"/>
        <c:lblAlgn val="ctr"/>
        <c:lblOffset val="100"/>
        <c:noMultiLvlLbl val="0"/>
      </c:catAx>
      <c:valAx>
        <c:axId val="6458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9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Sheet5!$B$3</c:f>
              <c:strCache>
                <c:ptCount val="1"/>
                <c:pt idx="0">
                  <c:v>Total</c:v>
                </c:pt>
              </c:strCache>
            </c:strRef>
          </c:tx>
          <c:spPr>
            <a:solidFill>
              <a:schemeClr val="accent1"/>
            </a:solidFill>
            <a:ln>
              <a:noFill/>
            </a:ln>
            <a:effectLst/>
            <a:sp3d/>
          </c:spPr>
          <c:invertIfNegative val="0"/>
          <c:cat>
            <c:strRef>
              <c:f>Sheet5!$A$4:$A$8</c:f>
              <c:strCache>
                <c:ptCount val="4"/>
                <c:pt idx="0">
                  <c:v>mild</c:v>
                </c:pt>
                <c:pt idx="1">
                  <c:v>moderate</c:v>
                </c:pt>
                <c:pt idx="2">
                  <c:v>others</c:v>
                </c:pt>
                <c:pt idx="3">
                  <c:v>severe</c:v>
                </c:pt>
              </c:strCache>
            </c:strRef>
          </c:cat>
          <c:val>
            <c:numRef>
              <c:f>Sheet5!$B$4:$B$8</c:f>
              <c:numCache>
                <c:formatCode>General</c:formatCode>
                <c:ptCount val="4"/>
                <c:pt idx="0">
                  <c:v>9</c:v>
                </c:pt>
                <c:pt idx="1">
                  <c:v>8</c:v>
                </c:pt>
                <c:pt idx="2">
                  <c:v>2</c:v>
                </c:pt>
                <c:pt idx="3">
                  <c:v>6</c:v>
                </c:pt>
              </c:numCache>
            </c:numRef>
          </c:val>
          <c:extLst>
            <c:ext xmlns:c16="http://schemas.microsoft.com/office/drawing/2014/chart" uri="{C3380CC4-5D6E-409C-BE32-E72D297353CC}">
              <c16:uniqueId val="{00000000-B40C-49CC-A8CE-055A6925C8F7}"/>
            </c:ext>
          </c:extLst>
        </c:ser>
        <c:dLbls>
          <c:showLegendKey val="0"/>
          <c:showVal val="0"/>
          <c:showCatName val="0"/>
          <c:showSerName val="0"/>
          <c:showPercent val="0"/>
          <c:showBubbleSize val="0"/>
        </c:dLbls>
        <c:gapWidth val="150"/>
        <c:shape val="box"/>
        <c:axId val="1216383743"/>
        <c:axId val="1216385663"/>
        <c:axId val="0"/>
      </c:bar3DChart>
      <c:catAx>
        <c:axId val="1216383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85663"/>
        <c:crosses val="autoZero"/>
        <c:auto val="1"/>
        <c:lblAlgn val="ctr"/>
        <c:lblOffset val="100"/>
        <c:noMultiLvlLbl val="0"/>
      </c:catAx>
      <c:valAx>
        <c:axId val="1216385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38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[bushit.xlsx]Sheet6!PivotTable6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Sheet6!$A$4:$A$7</c:f>
              <c:strCache>
                <c:ptCount val="3"/>
                <c:pt idx="0">
                  <c:v>Jan</c:v>
                </c:pt>
                <c:pt idx="1">
                  <c:v>Feb</c:v>
                </c:pt>
                <c:pt idx="2">
                  <c:v>Dec</c:v>
                </c:pt>
              </c:strCache>
            </c:strRef>
          </c:cat>
          <c:val>
            <c:numRef>
              <c:f>Sheet6!$B$4:$B$7</c:f>
              <c:numCache>
                <c:formatCode>General</c:formatCode>
                <c:ptCount val="3"/>
                <c:pt idx="0">
                  <c:v>12</c:v>
                </c:pt>
                <c:pt idx="1">
                  <c:v>1</c:v>
                </c:pt>
                <c:pt idx="2">
                  <c:v>12</c:v>
                </c:pt>
              </c:numCache>
            </c:numRef>
          </c:val>
          <c:smooth val="0"/>
          <c:extLst>
            <c:ext xmlns:c16="http://schemas.microsoft.com/office/drawing/2014/chart" uri="{C3380CC4-5D6E-409C-BE32-E72D297353CC}">
              <c16:uniqueId val="{00000000-8F5D-4875-9578-48542890088F}"/>
            </c:ext>
          </c:extLst>
        </c:ser>
        <c:dLbls>
          <c:showLegendKey val="0"/>
          <c:showVal val="0"/>
          <c:showCatName val="0"/>
          <c:showSerName val="0"/>
          <c:showPercent val="0"/>
          <c:showBubbleSize val="0"/>
        </c:dLbls>
        <c:marker val="1"/>
        <c:smooth val="0"/>
        <c:axId val="4015599"/>
        <c:axId val="1586062159"/>
      </c:lineChart>
      <c:catAx>
        <c:axId val="40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062159"/>
        <c:crosses val="autoZero"/>
        <c:auto val="1"/>
        <c:lblAlgn val="ctr"/>
        <c:lblOffset val="100"/>
        <c:noMultiLvlLbl val="0"/>
      </c:catAx>
      <c:valAx>
        <c:axId val="158606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457200</xdr:colOff>
      <xdr:row>21</xdr:row>
      <xdr:rowOff>123825</xdr:rowOff>
    </xdr:from>
    <xdr:to>
      <xdr:col>11</xdr:col>
      <xdr:colOff>200025</xdr:colOff>
      <xdr:row>33</xdr:row>
      <xdr:rowOff>11206</xdr:rowOff>
    </xdr:to>
    <xdr:graphicFrame macro="">
      <xdr:nvGraphicFramePr>
        <xdr:cNvPr id="2" name="Chart 1">
          <a:extLst>
            <a:ext uri="{FF2B5EF4-FFF2-40B4-BE49-F238E27FC236}">
              <a16:creationId xmlns:a16="http://schemas.microsoft.com/office/drawing/2014/main" id="{B594690C-6273-4D66-9871-475A3187A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236444</xdr:colOff>
      <xdr:row>21</xdr:row>
      <xdr:rowOff>127747</xdr:rowOff>
    </xdr:from>
    <xdr:to>
      <xdr:col>19</xdr:col>
      <xdr:colOff>541244</xdr:colOff>
      <xdr:row>33</xdr:row>
      <xdr:rowOff>22411</xdr:rowOff>
    </xdr:to>
    <xdr:graphicFrame macro="">
      <xdr:nvGraphicFramePr>
        <xdr:cNvPr id="3" name="Chart 2">
          <a:extLst>
            <a:ext uri="{FF2B5EF4-FFF2-40B4-BE49-F238E27FC236}">
              <a16:creationId xmlns:a16="http://schemas.microsoft.com/office/drawing/2014/main" id="{153C6AC5-1C8F-4E03-A93C-A73BCAD17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449355</xdr:colOff>
      <xdr:row>35</xdr:row>
      <xdr:rowOff>130548</xdr:rowOff>
    </xdr:from>
    <xdr:to>
      <xdr:col>11</xdr:col>
      <xdr:colOff>220755</xdr:colOff>
      <xdr:row>50</xdr:row>
      <xdr:rowOff>16248</xdr:rowOff>
    </xdr:to>
    <xdr:graphicFrame macro="">
      <xdr:nvGraphicFramePr>
        <xdr:cNvPr id="4" name="Chart 3">
          <a:extLst>
            <a:ext uri="{FF2B5EF4-FFF2-40B4-BE49-F238E27FC236}">
              <a16:creationId xmlns:a16="http://schemas.microsoft.com/office/drawing/2014/main" id="{336F528A-8348-4E3A-8616-1FCB9BE60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215715</xdr:colOff>
      <xdr:row>35</xdr:row>
      <xdr:rowOff>183775</xdr:rowOff>
    </xdr:from>
    <xdr:to>
      <xdr:col>19</xdr:col>
      <xdr:colOff>520515</xdr:colOff>
      <xdr:row>50</xdr:row>
      <xdr:rowOff>69475</xdr:rowOff>
    </xdr:to>
    <xdr:graphicFrame macro="">
      <xdr:nvGraphicFramePr>
        <xdr:cNvPr id="5" name="Chart 4">
          <a:extLst>
            <a:ext uri="{FF2B5EF4-FFF2-40B4-BE49-F238E27FC236}">
              <a16:creationId xmlns:a16="http://schemas.microsoft.com/office/drawing/2014/main" id="{EC39F6F6-8429-4D0A-8DCC-B4E8565F2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368113</xdr:colOff>
      <xdr:row>36</xdr:row>
      <xdr:rowOff>10646</xdr:rowOff>
    </xdr:from>
    <xdr:to>
      <xdr:col>28</xdr:col>
      <xdr:colOff>63313</xdr:colOff>
      <xdr:row>50</xdr:row>
      <xdr:rowOff>86846</xdr:rowOff>
    </xdr:to>
    <xdr:graphicFrame macro="">
      <xdr:nvGraphicFramePr>
        <xdr:cNvPr id="6" name="Chart 5">
          <a:extLst>
            <a:ext uri="{FF2B5EF4-FFF2-40B4-BE49-F238E27FC236}">
              <a16:creationId xmlns:a16="http://schemas.microsoft.com/office/drawing/2014/main" id="{B4E64BC3-1347-4CAA-BF7E-3B7E5A7AB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459441</xdr:colOff>
      <xdr:row>15</xdr:row>
      <xdr:rowOff>95250</xdr:rowOff>
    </xdr:from>
    <xdr:to>
      <xdr:col>19</xdr:col>
      <xdr:colOff>549089</xdr:colOff>
      <xdr:row>19</xdr:row>
      <xdr:rowOff>85725</xdr:rowOff>
    </xdr:to>
    <xdr:sp macro="" textlink="">
      <xdr:nvSpPr>
        <xdr:cNvPr id="7" name="Rectangle: Rounded Corners 6">
          <a:extLst>
            <a:ext uri="{FF2B5EF4-FFF2-40B4-BE49-F238E27FC236}">
              <a16:creationId xmlns:a16="http://schemas.microsoft.com/office/drawing/2014/main" id="{D3C85035-7A01-7905-48E7-589DA8B8245B}"/>
            </a:ext>
          </a:extLst>
        </xdr:cNvPr>
        <xdr:cNvSpPr/>
      </xdr:nvSpPr>
      <xdr:spPr>
        <a:xfrm>
          <a:off x="2711823" y="2952750"/>
          <a:ext cx="10376648" cy="752475"/>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a:t>DASHBOARD</a:t>
          </a:r>
        </a:p>
      </xdr:txBody>
    </xdr:sp>
    <xdr:clientData/>
  </xdr:twoCellAnchor>
  <xdr:oneCellAnchor>
    <xdr:from>
      <xdr:col>27</xdr:col>
      <xdr:colOff>336176</xdr:colOff>
      <xdr:row>24</xdr:row>
      <xdr:rowOff>134470</xdr:rowOff>
    </xdr:from>
    <xdr:ext cx="1434353" cy="1277471"/>
    <xdr:sp macro="" textlink="">
      <xdr:nvSpPr>
        <xdr:cNvPr id="16" name="TextBox 15">
          <a:extLst>
            <a:ext uri="{FF2B5EF4-FFF2-40B4-BE49-F238E27FC236}">
              <a16:creationId xmlns:a16="http://schemas.microsoft.com/office/drawing/2014/main" id="{8EB64A20-2B0F-F2DF-6CAF-AC22E0CC4EA8}"/>
            </a:ext>
          </a:extLst>
        </xdr:cNvPr>
        <xdr:cNvSpPr txBox="1"/>
      </xdr:nvSpPr>
      <xdr:spPr>
        <a:xfrm>
          <a:off x="16674352" y="4706470"/>
          <a:ext cx="1434353" cy="1277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100"/>
        </a:p>
      </xdr:txBody>
    </xdr:sp>
    <xdr:clientData/>
  </xdr:oneCellAnchor>
  <xdr:twoCellAnchor>
    <xdr:from>
      <xdr:col>21</xdr:col>
      <xdr:colOff>212911</xdr:colOff>
      <xdr:row>21</xdr:row>
      <xdr:rowOff>145677</xdr:rowOff>
    </xdr:from>
    <xdr:to>
      <xdr:col>26</xdr:col>
      <xdr:colOff>268940</xdr:colOff>
      <xdr:row>25</xdr:row>
      <xdr:rowOff>56031</xdr:rowOff>
    </xdr:to>
    <xdr:sp macro="" textlink="">
      <xdr:nvSpPr>
        <xdr:cNvPr id="19" name="Rectangle: Rounded Corners 18">
          <a:extLst>
            <a:ext uri="{FF2B5EF4-FFF2-40B4-BE49-F238E27FC236}">
              <a16:creationId xmlns:a16="http://schemas.microsoft.com/office/drawing/2014/main" id="{4E046029-28A9-1F65-15B4-29A0EDA214D7}"/>
            </a:ext>
          </a:extLst>
        </xdr:cNvPr>
        <xdr:cNvSpPr/>
      </xdr:nvSpPr>
      <xdr:spPr>
        <a:xfrm>
          <a:off x="13962529" y="4146177"/>
          <a:ext cx="4247029" cy="672354"/>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TOTAL</a:t>
          </a:r>
          <a:r>
            <a:rPr lang="en-US" sz="2800" baseline="0"/>
            <a:t> OF CONSULTATIONS</a:t>
          </a:r>
          <a:endParaRPr lang="en-US" sz="2800"/>
        </a:p>
      </xdr:txBody>
    </xdr:sp>
    <xdr:clientData/>
  </xdr:twoCellAnchor>
  <xdr:twoCellAnchor editAs="oneCell">
    <xdr:from>
      <xdr:col>0</xdr:col>
      <xdr:colOff>291354</xdr:colOff>
      <xdr:row>35</xdr:row>
      <xdr:rowOff>109816</xdr:rowOff>
    </xdr:from>
    <xdr:to>
      <xdr:col>2</xdr:col>
      <xdr:colOff>224118</xdr:colOff>
      <xdr:row>52</xdr:row>
      <xdr:rowOff>89646</xdr:rowOff>
    </xdr:to>
    <mc:AlternateContent xmlns:mc="http://schemas.openxmlformats.org/markup-compatibility/2006" xmlns:a14="http://schemas.microsoft.com/office/drawing/2010/main">
      <mc:Choice Requires="a14">
        <xdr:graphicFrame macro="">
          <xdr:nvGraphicFramePr>
            <xdr:cNvPr id="28" name="date_consultation">
              <a:extLst>
                <a:ext uri="{FF2B5EF4-FFF2-40B4-BE49-F238E27FC236}">
                  <a16:creationId xmlns:a16="http://schemas.microsoft.com/office/drawing/2014/main" id="{9A0A7C80-9B7B-F5E1-89E8-5E9BF01E7868}"/>
                </a:ext>
              </a:extLst>
            </xdr:cNvPr>
            <xdr:cNvGraphicFramePr/>
          </xdr:nvGraphicFramePr>
          <xdr:xfrm>
            <a:off x="0" y="0"/>
            <a:ext cx="0" cy="0"/>
          </xdr:xfrm>
          <a:graphic>
            <a:graphicData uri="http://schemas.microsoft.com/office/drawing/2010/slicer">
              <sle:slicer xmlns:sle="http://schemas.microsoft.com/office/drawing/2010/slicer" name="date_consultation"/>
            </a:graphicData>
          </a:graphic>
        </xdr:graphicFrame>
      </mc:Choice>
      <mc:Fallback xmlns="">
        <xdr:sp macro="" textlink="">
          <xdr:nvSpPr>
            <xdr:cNvPr id="0" name=""/>
            <xdr:cNvSpPr>
              <a:spLocks noTextEdit="1"/>
            </xdr:cNvSpPr>
          </xdr:nvSpPr>
          <xdr:spPr>
            <a:xfrm>
              <a:off x="291354" y="6273051"/>
              <a:ext cx="2185146" cy="3218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313765</xdr:colOff>
      <xdr:row>24</xdr:row>
      <xdr:rowOff>42583</xdr:rowOff>
    </xdr:from>
    <xdr:to>
      <xdr:col>2</xdr:col>
      <xdr:colOff>280147</xdr:colOff>
      <xdr:row>30</xdr:row>
      <xdr:rowOff>22413</xdr:rowOff>
    </xdr:to>
    <mc:AlternateContent xmlns:mc="http://schemas.openxmlformats.org/markup-compatibility/2006" xmlns:a14="http://schemas.microsoft.com/office/drawing/2010/main">
      <mc:Choice Requires="a14">
        <xdr:graphicFrame macro="">
          <xdr:nvGraphicFramePr>
            <xdr:cNvPr id="29" name="reason_for_consultation">
              <a:extLst>
                <a:ext uri="{FF2B5EF4-FFF2-40B4-BE49-F238E27FC236}">
                  <a16:creationId xmlns:a16="http://schemas.microsoft.com/office/drawing/2014/main" id="{DC491CA0-78A7-DF99-0922-05B39E94977F}"/>
                </a:ext>
              </a:extLst>
            </xdr:cNvPr>
            <xdr:cNvGraphicFramePr/>
          </xdr:nvGraphicFramePr>
          <xdr:xfrm>
            <a:off x="0" y="0"/>
            <a:ext cx="0" cy="0"/>
          </xdr:xfrm>
          <a:graphic>
            <a:graphicData uri="http://schemas.microsoft.com/office/drawing/2010/slicer">
              <sle:slicer xmlns:sle="http://schemas.microsoft.com/office/drawing/2010/slicer" name="reason_for_consultation"/>
            </a:graphicData>
          </a:graphic>
        </xdr:graphicFrame>
      </mc:Choice>
      <mc:Fallback xmlns="">
        <xdr:sp macro="" textlink="">
          <xdr:nvSpPr>
            <xdr:cNvPr id="0" name=""/>
            <xdr:cNvSpPr>
              <a:spLocks noTextEdit="1"/>
            </xdr:cNvSpPr>
          </xdr:nvSpPr>
          <xdr:spPr>
            <a:xfrm>
              <a:off x="313765" y="2552701"/>
              <a:ext cx="2218764" cy="2680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437031</xdr:colOff>
      <xdr:row>32</xdr:row>
      <xdr:rowOff>179294</xdr:rowOff>
    </xdr:from>
    <xdr:to>
      <xdr:col>2</xdr:col>
      <xdr:colOff>22413</xdr:colOff>
      <xdr:row>35</xdr:row>
      <xdr:rowOff>0</xdr:rowOff>
    </xdr:to>
    <xdr:sp macro="" textlink="">
      <xdr:nvSpPr>
        <xdr:cNvPr id="31" name="Rectangle: Rounded Corners 30">
          <a:extLst>
            <a:ext uri="{FF2B5EF4-FFF2-40B4-BE49-F238E27FC236}">
              <a16:creationId xmlns:a16="http://schemas.microsoft.com/office/drawing/2014/main" id="{792AD856-5D2B-47A4-20BE-7C85C3FC877E}"/>
            </a:ext>
          </a:extLst>
        </xdr:cNvPr>
        <xdr:cNvSpPr/>
      </xdr:nvSpPr>
      <xdr:spPr>
        <a:xfrm>
          <a:off x="437031" y="7832912"/>
          <a:ext cx="1837764" cy="392206"/>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DATE</a:t>
          </a:r>
          <a:r>
            <a:rPr lang="en-US" sz="1100" b="1" baseline="0"/>
            <a:t> OF CONSULTATION</a:t>
          </a:r>
          <a:endParaRPr lang="en-US" sz="1100" b="1"/>
        </a:p>
      </xdr:txBody>
    </xdr:sp>
    <xdr:clientData/>
  </xdr:twoCellAnchor>
  <xdr:twoCellAnchor>
    <xdr:from>
      <xdr:col>0</xdr:col>
      <xdr:colOff>387723</xdr:colOff>
      <xdr:row>21</xdr:row>
      <xdr:rowOff>134472</xdr:rowOff>
    </xdr:from>
    <xdr:to>
      <xdr:col>2</xdr:col>
      <xdr:colOff>212911</xdr:colOff>
      <xdr:row>23</xdr:row>
      <xdr:rowOff>134472</xdr:rowOff>
    </xdr:to>
    <xdr:sp macro="" textlink="">
      <xdr:nvSpPr>
        <xdr:cNvPr id="32" name="Rectangle: Rounded Corners 31">
          <a:extLst>
            <a:ext uri="{FF2B5EF4-FFF2-40B4-BE49-F238E27FC236}">
              <a16:creationId xmlns:a16="http://schemas.microsoft.com/office/drawing/2014/main" id="{E66516C4-EEBE-E93D-6BE6-A1EDE7B37228}"/>
            </a:ext>
          </a:extLst>
        </xdr:cNvPr>
        <xdr:cNvSpPr/>
      </xdr:nvSpPr>
      <xdr:spPr>
        <a:xfrm>
          <a:off x="387723" y="4134972"/>
          <a:ext cx="2077570" cy="3810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baseline="0"/>
            <a:t>REASONS OF CONSULTATION</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2</xdr:row>
      <xdr:rowOff>176212</xdr:rowOff>
    </xdr:from>
    <xdr:to>
      <xdr:col>10</xdr:col>
      <xdr:colOff>114300</xdr:colOff>
      <xdr:row>17</xdr:row>
      <xdr:rowOff>61912</xdr:rowOff>
    </xdr:to>
    <xdr:graphicFrame macro="">
      <xdr:nvGraphicFramePr>
        <xdr:cNvPr id="2" name="Chart 1">
          <a:extLst>
            <a:ext uri="{FF2B5EF4-FFF2-40B4-BE49-F238E27FC236}">
              <a16:creationId xmlns:a16="http://schemas.microsoft.com/office/drawing/2014/main" id="{43FB8FF4-5881-776B-6638-CEBCB0928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428625</xdr:colOff>
      <xdr:row>11</xdr:row>
      <xdr:rowOff>52387</xdr:rowOff>
    </xdr:from>
    <xdr:to>
      <xdr:col>14</xdr:col>
      <xdr:colOff>123825</xdr:colOff>
      <xdr:row>25</xdr:row>
      <xdr:rowOff>128587</xdr:rowOff>
    </xdr:to>
    <xdr:graphicFrame macro="">
      <xdr:nvGraphicFramePr>
        <xdr:cNvPr id="2" name="Chart 1">
          <a:extLst>
            <a:ext uri="{FF2B5EF4-FFF2-40B4-BE49-F238E27FC236}">
              <a16:creationId xmlns:a16="http://schemas.microsoft.com/office/drawing/2014/main" id="{A310645A-6B39-30C0-A607-CC74A4AAA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142875</xdr:colOff>
      <xdr:row>11</xdr:row>
      <xdr:rowOff>52387</xdr:rowOff>
    </xdr:from>
    <xdr:to>
      <xdr:col>13</xdr:col>
      <xdr:colOff>238125</xdr:colOff>
      <xdr:row>25</xdr:row>
      <xdr:rowOff>128587</xdr:rowOff>
    </xdr:to>
    <xdr:graphicFrame macro="">
      <xdr:nvGraphicFramePr>
        <xdr:cNvPr id="2" name="Chart 1">
          <a:extLst>
            <a:ext uri="{FF2B5EF4-FFF2-40B4-BE49-F238E27FC236}">
              <a16:creationId xmlns:a16="http://schemas.microsoft.com/office/drawing/2014/main" id="{07D3DBE2-97A7-C4F9-37B4-45BE22F3C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323850</xdr:colOff>
      <xdr:row>11</xdr:row>
      <xdr:rowOff>52387</xdr:rowOff>
    </xdr:from>
    <xdr:to>
      <xdr:col>14</xdr:col>
      <xdr:colOff>19050</xdr:colOff>
      <xdr:row>25</xdr:row>
      <xdr:rowOff>128587</xdr:rowOff>
    </xdr:to>
    <xdr:graphicFrame macro="">
      <xdr:nvGraphicFramePr>
        <xdr:cNvPr id="2" name="Chart 1">
          <a:extLst>
            <a:ext uri="{FF2B5EF4-FFF2-40B4-BE49-F238E27FC236}">
              <a16:creationId xmlns:a16="http://schemas.microsoft.com/office/drawing/2014/main" id="{F54B0784-2BD1-FB61-DFDC-7FEB8CEDE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361950</xdr:colOff>
      <xdr:row>11</xdr:row>
      <xdr:rowOff>52387</xdr:rowOff>
    </xdr:from>
    <xdr:to>
      <xdr:col>13</xdr:col>
      <xdr:colOff>57150</xdr:colOff>
      <xdr:row>25</xdr:row>
      <xdr:rowOff>128587</xdr:rowOff>
    </xdr:to>
    <xdr:graphicFrame macro="">
      <xdr:nvGraphicFramePr>
        <xdr:cNvPr id="2" name="Chart 1">
          <a:extLst>
            <a:ext uri="{FF2B5EF4-FFF2-40B4-BE49-F238E27FC236}">
              <a16:creationId xmlns:a16="http://schemas.microsoft.com/office/drawing/2014/main" id="{F1EC29F5-5EAA-BA82-E8D3-49424F228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03.79173449074" createdVersion="8" refreshedVersion="8" minRefreshableVersion="3" recordCount="26" xr:uid="{798AEB7E-D31C-4BCC-A1FD-8CC61764FF27}">
  <cacheSource type="worksheet">
    <worksheetSource name="tbl_consultation"/>
  </cacheSource>
  <cacheFields count="12">
    <cacheField name="consultation_id" numFmtId="0">
      <sharedItems containsSemiMixedTypes="0" containsString="0" containsNumber="1" containsInteger="1" minValue="1" maxValue="27"/>
    </cacheField>
    <cacheField name="full_name" numFmtId="0">
      <sharedItems count="26">
        <s v="Victor Odarve"/>
        <s v="Gabriel, Madridano"/>
        <s v="Japhet, Doroin"/>
        <s v="Burbur, Lights"/>
        <s v="Ren, Dosol"/>
        <s v="Harle Jean, Bruce"/>
        <s v="Juan Dela Cruz"/>
        <s v="Maria Santos"/>
        <s v="Leo Ramirez"/>
        <s v="Angela Flores"/>
        <s v="Carlo Gutierrez"/>
        <s v="Nina Olarte"/>
        <s v="Ryan Villanueva"/>
        <s v="Melissa Tan"/>
        <s v="Patrick Gomez"/>
        <s v="Jenna Ramos"/>
        <s v="Daniel Lee"/>
        <s v="Krisha Bandojo"/>
        <s v="Mark Salcedo"/>
        <s v="japjap, doroin"/>
        <s v="Ogag ko"/>
        <s v="buang ko"/>
        <s v="bagak alimaping"/>
        <s v="animal ko"/>
        <s v="james harden"/>
        <s v="LEBRON JAMES"/>
      </sharedItems>
    </cacheField>
    <cacheField name="age" numFmtId="0">
      <sharedItems containsSemiMixedTypes="0" containsString="0" containsNumber="1" containsInteger="1" minValue="0" maxValue="42"/>
    </cacheField>
    <cacheField name="gender" numFmtId="0">
      <sharedItems count="3">
        <s v="Male"/>
        <s v="Female"/>
        <s v="Others"/>
      </sharedItems>
    </cacheField>
    <cacheField name="barangay" numFmtId="0">
      <sharedItems count="18">
        <s v="lumbia"/>
        <s v="balulang"/>
        <s v="canito-an"/>
        <s v="consolacion"/>
        <s v="carmen"/>
        <s v="bugo"/>
        <s v="lapasan"/>
        <s v="macasandig"/>
        <s v="gusa"/>
        <s v="puerto"/>
        <s v="camaman-an"/>
        <s v="nazareth"/>
        <s v="cugman"/>
        <s v="patag"/>
        <s v="indahag"/>
        <s v="bonbon"/>
        <s v="agusan"/>
        <s v="baikingon"/>
      </sharedItems>
    </cacheField>
    <cacheField name="complete_address" numFmtId="0">
      <sharedItems/>
    </cacheField>
    <cacheField name="reason_for_consultation" numFmtId="0">
      <sharedItems count="9">
        <s v="pain"/>
        <s v="fever"/>
        <s v="cough_cold"/>
        <s v="followup"/>
        <s v="wound7"/>
        <s v="bp_check"/>
        <s v="checkup"/>
        <s v="medication"/>
        <s v="skin"/>
      </sharedItems>
    </cacheField>
    <cacheField name="main_reason" numFmtId="0">
      <sharedItems/>
    </cacheField>
    <cacheField name="intensity" numFmtId="0">
      <sharedItems count="4">
        <s v="severe"/>
        <s v="others"/>
        <s v="moderate"/>
        <s v="mild"/>
      </sharedItems>
    </cacheField>
    <cacheField name="date_consultation" numFmtId="14">
      <sharedItems containsSemiMixedTypes="0" containsNonDate="0" containsDate="1" containsString="0" minDate="2025-01-05T00:00:00" maxDate="2025-12-13T00:00:00" count="11">
        <d v="2025-12-12T00:00:00"/>
        <d v="2025-01-05T00:00:00"/>
        <d v="2025-01-06T00:00:00"/>
        <d v="2025-01-07T00:00:00"/>
        <d v="2025-01-08T00:00:00"/>
        <d v="2025-01-09T00:00:00"/>
        <d v="2025-01-10T00:00:00"/>
        <d v="2025-01-11T00:00:00"/>
        <d v="2025-01-12T00:00:00"/>
        <d v="2025-01-13T00:00:00"/>
        <d v="2025-02-01T00:00:00"/>
      </sharedItems>
      <fieldGroup par="11"/>
    </cacheField>
    <cacheField name="Days (date_consultation)" numFmtId="0" databaseField="0">
      <fieldGroup base="9">
        <rangePr groupBy="days" startDate="2025-01-05T00:00:00" endDate="2025-12-13T00:00:00"/>
        <groupItems count="368">
          <s v="&lt;1/5/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3/2025"/>
        </groupItems>
      </fieldGroup>
    </cacheField>
    <cacheField name="Months (date_consultation)" numFmtId="0" databaseField="0">
      <fieldGroup base="9">
        <rangePr groupBy="months" startDate="2025-01-05T00:00:00" endDate="2025-12-13T00:00:00"/>
        <groupItems count="14">
          <s v="&lt;1/5/2025"/>
          <s v="Jan"/>
          <s v="Feb"/>
          <s v="Mar"/>
          <s v="Apr"/>
          <s v="May"/>
          <s v="Jun"/>
          <s v="Jul"/>
          <s v="Aug"/>
          <s v="Sep"/>
          <s v="Oct"/>
          <s v="Nov"/>
          <s v="Dec"/>
          <s v="&gt;12/13/2025"/>
        </groupItems>
      </fieldGroup>
    </cacheField>
  </cacheFields>
  <extLst>
    <ext xmlns:x14="http://schemas.microsoft.com/office/spreadsheetml/2009/9/main" uri="{725AE2AE-9491-48be-B2B4-4EB974FC3084}">
      <x14:pivotCacheDefinition pivotCacheId="1513795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1"/>
    <x v="0"/>
    <n v="21"/>
    <x v="0"/>
    <x v="0"/>
    <s v="Xavier Ecoville, Lumbia Cagayan de Oro"/>
    <x v="0"/>
    <s v="Sakit kay iyang gi buhat sako"/>
    <x v="0"/>
    <x v="0"/>
  </r>
  <r>
    <n v="2"/>
    <x v="1"/>
    <n v="20"/>
    <x v="0"/>
    <x v="1"/>
    <s v="taguanao, Cagayan de Oro "/>
    <x v="1"/>
    <s v="hilantanon inig dili maka sigarilyo"/>
    <x v="0"/>
    <x v="0"/>
  </r>
  <r>
    <n v="3"/>
    <x v="2"/>
    <n v="21"/>
    <x v="0"/>
    <x v="0"/>
    <s v="Xavier Ecoville, Lumbia Cagayan de Oro"/>
    <x v="2"/>
    <s v="cold nakay sya sako"/>
    <x v="0"/>
    <x v="0"/>
  </r>
  <r>
    <n v="4"/>
    <x v="3"/>
    <n v="23"/>
    <x v="0"/>
    <x v="2"/>
    <s v="Canito-an, Cagayan de Oro"/>
    <x v="3"/>
    <s v="follow up sa tambal sako anak"/>
    <x v="1"/>
    <x v="0"/>
  </r>
  <r>
    <n v="5"/>
    <x v="4"/>
    <n v="23"/>
    <x v="0"/>
    <x v="2"/>
    <s v="Canito-an, Cagayan de Oro"/>
    <x v="4"/>
    <s v="disgrasya motor bali ako tiil"/>
    <x v="0"/>
    <x v="0"/>
  </r>
  <r>
    <n v="6"/>
    <x v="5"/>
    <n v="24"/>
    <x v="1"/>
    <x v="3"/>
    <s v="Consolacion, Cagayan de Oro"/>
    <x v="5"/>
    <s v="Highblooron kayo murag bae"/>
    <x v="2"/>
    <x v="0"/>
  </r>
  <r>
    <n v="7"/>
    <x v="6"/>
    <n v="24"/>
    <x v="0"/>
    <x v="4"/>
    <s v="Zone 3, Carmen"/>
    <x v="6"/>
    <s v="Routine health check"/>
    <x v="3"/>
    <x v="1"/>
  </r>
  <r>
    <n v="9"/>
    <x v="7"/>
    <n v="31"/>
    <x v="1"/>
    <x v="1"/>
    <s v="Phase 1"/>
    <x v="2"/>
    <s v="Cough &amp; clogged nose"/>
    <x v="2"/>
    <x v="2"/>
  </r>
  <r>
    <n v="10"/>
    <x v="8"/>
    <n v="19"/>
    <x v="0"/>
    <x v="5"/>
    <s v="Riverside, Bugo"/>
    <x v="4"/>
    <s v="Minor cut on foot"/>
    <x v="3"/>
    <x v="2"/>
  </r>
  <r>
    <n v="11"/>
    <x v="9"/>
    <n v="28"/>
    <x v="1"/>
    <x v="6"/>
    <s v="Village A, Lapasan"/>
    <x v="0"/>
    <s v="Migraine"/>
    <x v="2"/>
    <x v="3"/>
  </r>
  <r>
    <n v="12"/>
    <x v="10"/>
    <n v="35"/>
    <x v="0"/>
    <x v="7"/>
    <s v="Zone 5, Macasandig"/>
    <x v="5"/>
    <s v="High BP monitoring"/>
    <x v="3"/>
    <x v="4"/>
  </r>
  <r>
    <n v="13"/>
    <x v="11"/>
    <n v="22"/>
    <x v="1"/>
    <x v="8"/>
    <s v="Zone 2, Gusa"/>
    <x v="7"/>
    <s v="Refill for migraine meds"/>
    <x v="3"/>
    <x v="4"/>
  </r>
  <r>
    <n v="14"/>
    <x v="12"/>
    <n v="27"/>
    <x v="0"/>
    <x v="9"/>
    <s v="Purok 4, Puerto"/>
    <x v="0"/>
    <s v="Back pain"/>
    <x v="2"/>
    <x v="5"/>
  </r>
  <r>
    <n v="15"/>
    <x v="13"/>
    <n v="30"/>
    <x v="1"/>
    <x v="10"/>
    <s v="Upper, Camaman-an"/>
    <x v="8"/>
    <s v="Skin allergy"/>
    <x v="0"/>
    <x v="6"/>
  </r>
  <r>
    <n v="16"/>
    <x v="14"/>
    <n v="40"/>
    <x v="0"/>
    <x v="2"/>
    <s v="Zone, Canito-an"/>
    <x v="5"/>
    <s v="BP evaluation"/>
    <x v="2"/>
    <x v="7"/>
  </r>
  <r>
    <n v="17"/>
    <x v="15"/>
    <n v="21"/>
    <x v="1"/>
    <x v="11"/>
    <s v="6th Street, Nazareth"/>
    <x v="2"/>
    <s v="Sore throat"/>
    <x v="3"/>
    <x v="7"/>
  </r>
  <r>
    <n v="18"/>
    <x v="16"/>
    <n v="25"/>
    <x v="0"/>
    <x v="12"/>
    <s v="Sitio Luna, Cugman"/>
    <x v="3"/>
    <s v="Sleep issue check"/>
    <x v="1"/>
    <x v="8"/>
  </r>
  <r>
    <n v="19"/>
    <x v="17"/>
    <n v="23"/>
    <x v="1"/>
    <x v="13"/>
    <s v="Block 8, Patag"/>
    <x v="6"/>
    <s v="Chest discomfort"/>
    <x v="3"/>
    <x v="9"/>
  </r>
  <r>
    <n v="20"/>
    <x v="18"/>
    <n v="29"/>
    <x v="2"/>
    <x v="14"/>
    <s v="Zone 1, Indahag"/>
    <x v="0"/>
    <s v="Shoulder pain"/>
    <x v="2"/>
    <x v="9"/>
  </r>
  <r>
    <n v="21"/>
    <x v="19"/>
    <n v="21"/>
    <x v="2"/>
    <x v="15"/>
    <s v="punta, bonbon"/>
    <x v="2"/>
    <s v="cold nakay si honey sako"/>
    <x v="0"/>
    <x v="0"/>
  </r>
  <r>
    <n v="22"/>
    <x v="20"/>
    <n v="0"/>
    <x v="2"/>
    <x v="16"/>
    <s v="Zone 2, Agusan"/>
    <x v="7"/>
    <s v="ga marijuana ko"/>
    <x v="2"/>
    <x v="10"/>
  </r>
  <r>
    <n v="23"/>
    <x v="21"/>
    <n v="0"/>
    <x v="0"/>
    <x v="17"/>
    <s v="Baikingon"/>
    <x v="5"/>
    <s v="highblood ko "/>
    <x v="3"/>
    <x v="0"/>
  </r>
  <r>
    <n v="24"/>
    <x v="22"/>
    <n v="42"/>
    <x v="0"/>
    <x v="0"/>
    <s v="Palalan, Lumbia"/>
    <x v="4"/>
    <s v="nasamad ang sampot"/>
    <x v="3"/>
    <x v="0"/>
  </r>
  <r>
    <n v="25"/>
    <x v="23"/>
    <n v="21"/>
    <x v="1"/>
    <x v="4"/>
    <s v="Market, Carmen"/>
    <x v="2"/>
    <s v="ubo ug sip on"/>
    <x v="2"/>
    <x v="0"/>
  </r>
  <r>
    <n v="26"/>
    <x v="24"/>
    <n v="32"/>
    <x v="0"/>
    <x v="4"/>
    <s v="Vamenta, Carmen "/>
    <x v="0"/>
    <s v="gi train nasakitan"/>
    <x v="3"/>
    <x v="0"/>
  </r>
  <r>
    <n v="27"/>
    <x v="25"/>
    <n v="42"/>
    <x v="0"/>
    <x v="0"/>
    <s v="Lumbia cdo"/>
    <x v="8"/>
    <s v="kagid"/>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FD206F-07C6-425F-A9B8-9320393FE5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2" firstHeaderRow="1" firstDataRow="1" firstDataCol="1"/>
  <pivotFields count="12">
    <pivotField showAll="0"/>
    <pivotField showAll="0">
      <items count="27">
        <item x="9"/>
        <item x="23"/>
        <item x="22"/>
        <item x="21"/>
        <item x="3"/>
        <item x="10"/>
        <item x="16"/>
        <item x="1"/>
        <item x="5"/>
        <item x="24"/>
        <item x="2"/>
        <item x="19"/>
        <item x="15"/>
        <item x="6"/>
        <item x="17"/>
        <item x="25"/>
        <item x="8"/>
        <item x="7"/>
        <item x="18"/>
        <item x="13"/>
        <item x="11"/>
        <item x="20"/>
        <item x="14"/>
        <item x="4"/>
        <item x="12"/>
        <item x="0"/>
        <item t="default"/>
      </items>
    </pivotField>
    <pivotField showAll="0"/>
    <pivotField showAll="0"/>
    <pivotField axis="axisRow" dataField="1" showAll="0">
      <items count="19">
        <item x="16"/>
        <item x="17"/>
        <item x="1"/>
        <item x="15"/>
        <item x="5"/>
        <item x="10"/>
        <item x="2"/>
        <item x="4"/>
        <item x="3"/>
        <item x="12"/>
        <item x="8"/>
        <item x="14"/>
        <item x="6"/>
        <item x="0"/>
        <item x="7"/>
        <item x="11"/>
        <item x="13"/>
        <item x="9"/>
        <item t="default"/>
      </items>
    </pivotField>
    <pivotField showAll="0"/>
    <pivotField showAll="0">
      <items count="10">
        <item x="5"/>
        <item x="6"/>
        <item x="2"/>
        <item x="1"/>
        <item x="3"/>
        <item x="7"/>
        <item x="0"/>
        <item x="8"/>
        <item x="4"/>
        <item t="default"/>
      </items>
    </pivotField>
    <pivotField showAll="0"/>
    <pivotField showAll="0"/>
    <pivotField numFmtId="14" showAll="0">
      <items count="12">
        <item h="1" x="1"/>
        <item x="2"/>
        <item x="3"/>
        <item x="4"/>
        <item x="5"/>
        <item x="6"/>
        <item x="7"/>
        <item x="8"/>
        <item x="9"/>
        <item x="10"/>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barangay"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CBAEAF-661C-4DF6-8D83-1A65E597B4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2">
    <pivotField showAll="0"/>
    <pivotField showAll="0">
      <items count="27">
        <item x="9"/>
        <item x="23"/>
        <item x="22"/>
        <item x="21"/>
        <item x="3"/>
        <item x="10"/>
        <item x="16"/>
        <item x="1"/>
        <item x="5"/>
        <item x="24"/>
        <item x="2"/>
        <item x="19"/>
        <item x="15"/>
        <item x="6"/>
        <item x="17"/>
        <item x="25"/>
        <item x="8"/>
        <item x="7"/>
        <item x="18"/>
        <item x="13"/>
        <item x="11"/>
        <item x="20"/>
        <item x="14"/>
        <item x="4"/>
        <item x="12"/>
        <item x="0"/>
        <item t="default"/>
      </items>
    </pivotField>
    <pivotField showAll="0"/>
    <pivotField axis="axisRow" dataField="1" showAll="0">
      <items count="4">
        <item x="1"/>
        <item x="0"/>
        <item x="2"/>
        <item t="default"/>
      </items>
    </pivotField>
    <pivotField showAll="0"/>
    <pivotField showAll="0"/>
    <pivotField showAll="0">
      <items count="10">
        <item x="5"/>
        <item x="6"/>
        <item x="2"/>
        <item x="1"/>
        <item x="3"/>
        <item x="7"/>
        <item x="0"/>
        <item x="8"/>
        <item x="4"/>
        <item t="default"/>
      </items>
    </pivotField>
    <pivotField showAll="0"/>
    <pivotField showAll="0"/>
    <pivotField numFmtId="14" showAll="0">
      <items count="12">
        <item h="1" x="1"/>
        <item x="2"/>
        <item x="3"/>
        <item x="4"/>
        <item x="5"/>
        <item x="6"/>
        <item x="7"/>
        <item x="8"/>
        <item x="9"/>
        <item x="10"/>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Count of gender" fld="3" subtotal="count" baseField="0" baseItem="0"/>
  </dataFields>
  <chartFormats count="7">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369860-0BE9-456A-85CF-0D0A2D0CF8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2">
    <pivotField showAll="0"/>
    <pivotField showAll="0">
      <items count="27">
        <item x="9"/>
        <item x="23"/>
        <item x="22"/>
        <item x="21"/>
        <item x="3"/>
        <item x="10"/>
        <item x="16"/>
        <item x="1"/>
        <item x="5"/>
        <item x="24"/>
        <item x="2"/>
        <item x="19"/>
        <item x="15"/>
        <item x="6"/>
        <item x="17"/>
        <item x="25"/>
        <item x="8"/>
        <item x="7"/>
        <item x="18"/>
        <item x="13"/>
        <item x="11"/>
        <item x="20"/>
        <item x="14"/>
        <item x="4"/>
        <item x="12"/>
        <item x="0"/>
        <item t="default"/>
      </items>
    </pivotField>
    <pivotField showAll="0"/>
    <pivotField showAll="0"/>
    <pivotField showAll="0"/>
    <pivotField showAll="0"/>
    <pivotField axis="axisRow" dataField="1" showAll="0">
      <items count="10">
        <item x="5"/>
        <item x="6"/>
        <item x="2"/>
        <item x="1"/>
        <item x="3"/>
        <item x="7"/>
        <item x="0"/>
        <item x="8"/>
        <item x="4"/>
        <item t="default"/>
      </items>
    </pivotField>
    <pivotField showAll="0"/>
    <pivotField showAll="0"/>
    <pivotField numFmtId="14" showAll="0">
      <items count="12">
        <item h="1" x="1"/>
        <item x="2"/>
        <item x="3"/>
        <item x="4"/>
        <item x="5"/>
        <item x="6"/>
        <item x="7"/>
        <item x="8"/>
        <item x="9"/>
        <item x="10"/>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0">
    <i>
      <x/>
    </i>
    <i>
      <x v="1"/>
    </i>
    <i>
      <x v="2"/>
    </i>
    <i>
      <x v="3"/>
    </i>
    <i>
      <x v="4"/>
    </i>
    <i>
      <x v="5"/>
    </i>
    <i>
      <x v="6"/>
    </i>
    <i>
      <x v="7"/>
    </i>
    <i>
      <x v="8"/>
    </i>
    <i t="grand">
      <x/>
    </i>
  </rowItems>
  <colItems count="1">
    <i/>
  </colItems>
  <dataFields count="1">
    <dataField name="Count of reason_for_consultation" fld="6"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27F165-B8F6-48F4-8673-698B432A24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2">
    <pivotField showAll="0"/>
    <pivotField showAll="0">
      <items count="27">
        <item x="9"/>
        <item x="23"/>
        <item x="22"/>
        <item x="21"/>
        <item x="3"/>
        <item x="10"/>
        <item x="16"/>
        <item x="1"/>
        <item x="5"/>
        <item x="24"/>
        <item x="2"/>
        <item x="19"/>
        <item x="15"/>
        <item x="6"/>
        <item x="17"/>
        <item x="25"/>
        <item x="8"/>
        <item x="7"/>
        <item x="18"/>
        <item x="13"/>
        <item x="11"/>
        <item x="20"/>
        <item x="14"/>
        <item x="4"/>
        <item x="12"/>
        <item x="0"/>
        <item t="default"/>
      </items>
    </pivotField>
    <pivotField showAll="0"/>
    <pivotField showAll="0"/>
    <pivotField showAll="0"/>
    <pivotField showAll="0"/>
    <pivotField showAll="0">
      <items count="10">
        <item x="5"/>
        <item x="6"/>
        <item x="2"/>
        <item x="1"/>
        <item x="3"/>
        <item x="7"/>
        <item x="0"/>
        <item x="8"/>
        <item x="4"/>
        <item t="default"/>
      </items>
    </pivotField>
    <pivotField showAll="0"/>
    <pivotField axis="axisRow" dataField="1" showAll="0">
      <items count="5">
        <item x="3"/>
        <item x="2"/>
        <item x="1"/>
        <item x="0"/>
        <item t="default"/>
      </items>
    </pivotField>
    <pivotField numFmtId="14" showAll="0">
      <items count="12">
        <item h="1" x="1"/>
        <item x="2"/>
        <item x="3"/>
        <item x="4"/>
        <item x="5"/>
        <item x="6"/>
        <item x="7"/>
        <item x="8"/>
        <item x="9"/>
        <item x="10"/>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Count of intensity" fld="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AA37BE-A4FE-456F-8EE6-F4322A1E5C3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2">
    <pivotField showAll="0"/>
    <pivotField showAll="0">
      <items count="27">
        <item x="9"/>
        <item x="23"/>
        <item x="22"/>
        <item x="21"/>
        <item x="3"/>
        <item x="10"/>
        <item x="16"/>
        <item x="1"/>
        <item x="5"/>
        <item x="24"/>
        <item x="2"/>
        <item x="19"/>
        <item x="15"/>
        <item x="6"/>
        <item x="17"/>
        <item x="25"/>
        <item x="8"/>
        <item x="7"/>
        <item x="18"/>
        <item x="13"/>
        <item x="11"/>
        <item x="20"/>
        <item x="14"/>
        <item x="4"/>
        <item x="12"/>
        <item x="0"/>
        <item t="default"/>
      </items>
    </pivotField>
    <pivotField showAll="0"/>
    <pivotField showAll="0"/>
    <pivotField showAll="0"/>
    <pivotField showAll="0"/>
    <pivotField showAll="0">
      <items count="10">
        <item x="5"/>
        <item x="6"/>
        <item x="2"/>
        <item x="1"/>
        <item x="3"/>
        <item x="7"/>
        <item x="0"/>
        <item x="8"/>
        <item x="4"/>
        <item t="default"/>
      </items>
    </pivotField>
    <pivotField showAll="0"/>
    <pivotField showAll="0"/>
    <pivotField axis="axisRow" dataField="1" numFmtId="14" showAll="0">
      <items count="12">
        <item h="1" x="1"/>
        <item x="2"/>
        <item x="3"/>
        <item x="4"/>
        <item x="5"/>
        <item x="6"/>
        <item x="7"/>
        <item x="8"/>
        <item x="9"/>
        <item x="10"/>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9"/>
  </rowFields>
  <rowItems count="4">
    <i>
      <x v="1"/>
    </i>
    <i>
      <x v="2"/>
    </i>
    <i>
      <x v="12"/>
    </i>
    <i t="grand">
      <x/>
    </i>
  </rowItems>
  <colItems count="1">
    <i/>
  </colItems>
  <dataFields count="1">
    <dataField name="Count of date_consultation" fld="9"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FF604E-2102-4695-94FA-9D898F4B713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56" firstHeaderRow="1" firstDataRow="1" firstDataCol="1"/>
  <pivotFields count="12">
    <pivotField showAll="0"/>
    <pivotField axis="axisRow" showAll="0">
      <items count="27">
        <item x="9"/>
        <item x="23"/>
        <item x="22"/>
        <item x="21"/>
        <item x="3"/>
        <item x="10"/>
        <item x="16"/>
        <item x="1"/>
        <item x="5"/>
        <item x="24"/>
        <item x="2"/>
        <item x="19"/>
        <item x="15"/>
        <item x="6"/>
        <item x="17"/>
        <item x="25"/>
        <item x="8"/>
        <item x="7"/>
        <item x="18"/>
        <item x="13"/>
        <item x="11"/>
        <item x="20"/>
        <item x="14"/>
        <item x="4"/>
        <item x="12"/>
        <item x="0"/>
        <item t="default"/>
      </items>
    </pivotField>
    <pivotField showAll="0"/>
    <pivotField showAll="0"/>
    <pivotField showAll="0"/>
    <pivotField showAll="0"/>
    <pivotField showAll="0"/>
    <pivotField showAll="0"/>
    <pivotField showAll="0"/>
    <pivotField axis="axisRow" numFmtId="14" showAll="0">
      <items count="12">
        <item x="1"/>
        <item x="2"/>
        <item x="3"/>
        <item x="4"/>
        <item x="5"/>
        <item x="6"/>
        <item x="7"/>
        <item x="8"/>
        <item x="9"/>
        <item x="10"/>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1"/>
    <field x="9"/>
  </rowFields>
  <rowItems count="53">
    <i>
      <x/>
    </i>
    <i r="1">
      <x v="2"/>
    </i>
    <i>
      <x v="1"/>
    </i>
    <i r="1">
      <x v="10"/>
    </i>
    <i>
      <x v="2"/>
    </i>
    <i r="1">
      <x v="10"/>
    </i>
    <i>
      <x v="3"/>
    </i>
    <i r="1">
      <x v="10"/>
    </i>
    <i>
      <x v="4"/>
    </i>
    <i r="1">
      <x v="10"/>
    </i>
    <i>
      <x v="5"/>
    </i>
    <i r="1">
      <x v="3"/>
    </i>
    <i>
      <x v="6"/>
    </i>
    <i r="1">
      <x v="7"/>
    </i>
    <i>
      <x v="7"/>
    </i>
    <i r="1">
      <x v="10"/>
    </i>
    <i>
      <x v="8"/>
    </i>
    <i r="1">
      <x v="10"/>
    </i>
    <i>
      <x v="9"/>
    </i>
    <i r="1">
      <x v="10"/>
    </i>
    <i>
      <x v="10"/>
    </i>
    <i r="1">
      <x v="10"/>
    </i>
    <i>
      <x v="11"/>
    </i>
    <i r="1">
      <x v="10"/>
    </i>
    <i>
      <x v="12"/>
    </i>
    <i r="1">
      <x v="6"/>
    </i>
    <i>
      <x v="13"/>
    </i>
    <i r="1">
      <x/>
    </i>
    <i>
      <x v="14"/>
    </i>
    <i r="1">
      <x v="8"/>
    </i>
    <i>
      <x v="15"/>
    </i>
    <i r="1">
      <x v="10"/>
    </i>
    <i>
      <x v="16"/>
    </i>
    <i r="1">
      <x v="1"/>
    </i>
    <i>
      <x v="17"/>
    </i>
    <i r="1">
      <x v="1"/>
    </i>
    <i>
      <x v="18"/>
    </i>
    <i r="1">
      <x v="8"/>
    </i>
    <i>
      <x v="19"/>
    </i>
    <i r="1">
      <x v="5"/>
    </i>
    <i>
      <x v="20"/>
    </i>
    <i r="1">
      <x v="3"/>
    </i>
    <i>
      <x v="21"/>
    </i>
    <i r="1">
      <x v="9"/>
    </i>
    <i>
      <x v="22"/>
    </i>
    <i r="1">
      <x v="6"/>
    </i>
    <i>
      <x v="23"/>
    </i>
    <i r="1">
      <x v="10"/>
    </i>
    <i>
      <x v="24"/>
    </i>
    <i r="1">
      <x v="4"/>
    </i>
    <i>
      <x v="25"/>
    </i>
    <i r="1">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81142ED-05FF-4AB2-9F11-80A033560B27}" autoFormatId="16" applyNumberFormats="0" applyBorderFormats="0" applyFontFormats="0" applyPatternFormats="0" applyAlignmentFormats="0" applyWidthHeightFormats="0">
  <queryTableRefresh nextId="11">
    <queryTableFields count="10">
      <queryTableField id="1" name="consultation_id" tableColumnId="1"/>
      <queryTableField id="2" name="full_name" tableColumnId="2"/>
      <queryTableField id="3" name="age" tableColumnId="3"/>
      <queryTableField id="4" name="gender" tableColumnId="4"/>
      <queryTableField id="5" name="barangay" tableColumnId="5"/>
      <queryTableField id="6" name="complete_address" tableColumnId="6"/>
      <queryTableField id="7" name="reason_for_consultation" tableColumnId="7"/>
      <queryTableField id="8" name="main_reason" tableColumnId="8"/>
      <queryTableField id="9" name="intensity" tableColumnId="9"/>
      <queryTableField id="10" name="date_consultati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consultation" xr10:uid="{E245D322-A251-4CA8-B65D-7ED496F19D1D}" sourceName="date_consultation">
  <pivotTables>
    <pivotTable tabId="3" name="PivotTable1"/>
    <pivotTable tabId="4" name="PivotTable3"/>
    <pivotTable tabId="5" name="PivotTable4"/>
    <pivotTable tabId="6" name="PivotTable5"/>
    <pivotTable tabId="7" name="PivotTable6"/>
  </pivotTables>
  <data>
    <tabular pivotCacheId="1513795465">
      <items count="11">
        <i x="1"/>
        <i x="2" s="1"/>
        <i x="3" s="1"/>
        <i x="4" s="1"/>
        <i x="5" s="1"/>
        <i x="6" s="1"/>
        <i x="7" s="1"/>
        <i x="8" s="1"/>
        <i x="9" s="1"/>
        <i x="10"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or_consultation" xr10:uid="{72050E93-D024-41B1-B149-92AEA39603A4}" sourceName="reason_for_consultation">
  <pivotTables>
    <pivotTable tabId="3" name="PivotTable1"/>
    <pivotTable tabId="4" name="PivotTable3"/>
    <pivotTable tabId="5" name="PivotTable4"/>
    <pivotTable tabId="6" name="PivotTable5"/>
    <pivotTable tabId="7" name="PivotTable6"/>
  </pivotTables>
  <data>
    <tabular pivotCacheId="1513795465">
      <items count="9">
        <i x="5" s="1"/>
        <i x="6" s="1"/>
        <i x="2" s="1"/>
        <i x="1" s="1"/>
        <i x="3" s="1"/>
        <i x="7" s="1"/>
        <i x="0" s="1"/>
        <i x="8"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_consultation" xr10:uid="{92E61A20-9C01-4B9E-8078-44090E33C712}" cache="Slicer_date_consultation" caption="date_consultation" showCaption="0" rowHeight="241300"/>
  <slicer name="reason_for_consultation" xr10:uid="{1C2546E9-66DE-460E-9581-2576654D4D2B}" cache="Slicer_reason_for_consultation" caption="reason_for_consultation" showCaption="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5995C1-0D85-4BDF-B597-FFF907F5BF64}" name="tbl_consultation" displayName="tbl_consultation" ref="A1:J28" tableType="queryTable" totalsRowShown="0">
  <autoFilter ref="A1:J28" xr:uid="{3D5995C1-0D85-4BDF-B597-FFF907F5BF64}"/>
  <tableColumns count="10">
    <tableColumn id="1" xr3:uid="{2FAB5619-B374-42B8-866C-A3F0EC1C8E79}" uniqueName="1" name="consultation_id" queryTableFieldId="1"/>
    <tableColumn id="2" xr3:uid="{62BA721A-BC03-46D8-888A-63DE11382D70}" uniqueName="2" name="full_name" queryTableFieldId="2" dataDxfId="7"/>
    <tableColumn id="3" xr3:uid="{C24645A1-7AC3-4393-9491-526904515FA2}" uniqueName="3" name="age" queryTableFieldId="3"/>
    <tableColumn id="4" xr3:uid="{DC3827A4-9C62-4C02-A162-920801994D7F}" uniqueName="4" name="gender" queryTableFieldId="4" dataDxfId="6"/>
    <tableColumn id="5" xr3:uid="{87E2DAF1-EAB1-4F40-98CE-537B2406730E}" uniqueName="5" name="barangay" queryTableFieldId="5" dataDxfId="5"/>
    <tableColumn id="6" xr3:uid="{701AC55A-21FA-46C0-83FF-D0D6DE60B886}" uniqueName="6" name="complete_address" queryTableFieldId="6" dataDxfId="4"/>
    <tableColumn id="7" xr3:uid="{8DBBF860-9CF0-4C26-918D-D2A5AE3C5189}" uniqueName="7" name="reason_for_consultation" queryTableFieldId="7" dataDxfId="3"/>
    <tableColumn id="8" xr3:uid="{C9ACB400-1DDA-43BB-B943-222BDEBF0F58}" uniqueName="8" name="main_reason" queryTableFieldId="8" dataDxfId="2"/>
    <tableColumn id="9" xr3:uid="{F3A3BBE5-4B85-4915-BEE0-431D9C383F48}" uniqueName="9" name="intensity" queryTableFieldId="9" dataDxfId="1"/>
    <tableColumn id="10" xr3:uid="{53E9CA57-388A-4F78-BB19-65CD7703506C}" uniqueName="10" name="date_consultation"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7A315-08E7-441B-B19C-EA76DF6ABF90}">
  <dimension ref="A1:J28"/>
  <sheetViews>
    <sheetView tabSelected="1" workbookViewId="0">
      <selection activeCell="F16" sqref="F16"/>
    </sheetView>
  </sheetViews>
  <sheetFormatPr defaultRowHeight="15" x14ac:dyDescent="0.25"/>
  <cols>
    <col min="1" max="1" width="17.140625" bestFit="1" customWidth="1"/>
    <col min="2" max="2" width="18.28515625" bestFit="1" customWidth="1"/>
    <col min="3" max="3" width="6.42578125" bestFit="1" customWidth="1"/>
    <col min="4" max="4" width="9.5703125" bestFit="1" customWidth="1"/>
    <col min="5" max="5" width="12.28515625" bestFit="1" customWidth="1"/>
    <col min="6" max="6" width="36.28515625" bestFit="1" customWidth="1"/>
    <col min="7" max="7" width="25.28515625" bestFit="1" customWidth="1"/>
    <col min="8" max="8" width="31.28515625" bestFit="1" customWidth="1"/>
    <col min="9" max="9" width="11.140625" bestFit="1" customWidth="1"/>
    <col min="10" max="10" width="19.5703125" bestFit="1" customWidth="1"/>
  </cols>
  <sheetData>
    <row r="1" spans="1:10" x14ac:dyDescent="0.25">
      <c r="A1" t="s">
        <v>0</v>
      </c>
      <c r="B1" t="s">
        <v>1</v>
      </c>
      <c r="C1" t="s">
        <v>2</v>
      </c>
      <c r="D1" t="s">
        <v>3</v>
      </c>
      <c r="E1" t="s">
        <v>4</v>
      </c>
      <c r="F1" t="s">
        <v>5</v>
      </c>
      <c r="G1" t="s">
        <v>6</v>
      </c>
      <c r="H1" t="s">
        <v>7</v>
      </c>
      <c r="I1" t="s">
        <v>8</v>
      </c>
      <c r="J1" t="s">
        <v>9</v>
      </c>
    </row>
    <row r="2" spans="1:10" x14ac:dyDescent="0.25">
      <c r="A2">
        <v>1</v>
      </c>
      <c r="B2" t="s">
        <v>10</v>
      </c>
      <c r="C2">
        <v>21</v>
      </c>
      <c r="D2" t="s">
        <v>11</v>
      </c>
      <c r="E2" t="s">
        <v>12</v>
      </c>
      <c r="F2" t="s">
        <v>13</v>
      </c>
      <c r="G2" t="s">
        <v>14</v>
      </c>
      <c r="H2" t="s">
        <v>15</v>
      </c>
      <c r="I2" t="s">
        <v>16</v>
      </c>
      <c r="J2" s="1">
        <v>46003</v>
      </c>
    </row>
    <row r="3" spans="1:10" x14ac:dyDescent="0.25">
      <c r="A3">
        <v>2</v>
      </c>
      <c r="B3" t="s">
        <v>17</v>
      </c>
      <c r="C3">
        <v>20</v>
      </c>
      <c r="D3" t="s">
        <v>11</v>
      </c>
      <c r="E3" t="s">
        <v>18</v>
      </c>
      <c r="F3" t="s">
        <v>19</v>
      </c>
      <c r="G3" t="s">
        <v>20</v>
      </c>
      <c r="H3" t="s">
        <v>21</v>
      </c>
      <c r="I3" t="s">
        <v>16</v>
      </c>
      <c r="J3" s="1">
        <v>46003</v>
      </c>
    </row>
    <row r="4" spans="1:10" x14ac:dyDescent="0.25">
      <c r="A4">
        <v>3</v>
      </c>
      <c r="B4" t="s">
        <v>22</v>
      </c>
      <c r="C4">
        <v>21</v>
      </c>
      <c r="D4" t="s">
        <v>11</v>
      </c>
      <c r="E4" t="s">
        <v>12</v>
      </c>
      <c r="F4" t="s">
        <v>13</v>
      </c>
      <c r="G4" t="s">
        <v>23</v>
      </c>
      <c r="H4" t="s">
        <v>24</v>
      </c>
      <c r="I4" t="s">
        <v>16</v>
      </c>
      <c r="J4" s="1">
        <v>46003</v>
      </c>
    </row>
    <row r="5" spans="1:10" x14ac:dyDescent="0.25">
      <c r="A5">
        <v>4</v>
      </c>
      <c r="B5" t="s">
        <v>25</v>
      </c>
      <c r="C5">
        <v>23</v>
      </c>
      <c r="D5" t="s">
        <v>11</v>
      </c>
      <c r="E5" t="s">
        <v>26</v>
      </c>
      <c r="F5" t="s">
        <v>27</v>
      </c>
      <c r="G5" t="s">
        <v>28</v>
      </c>
      <c r="H5" t="s">
        <v>29</v>
      </c>
      <c r="I5" t="s">
        <v>30</v>
      </c>
      <c r="J5" s="1">
        <v>46003</v>
      </c>
    </row>
    <row r="6" spans="1:10" x14ac:dyDescent="0.25">
      <c r="A6">
        <v>5</v>
      </c>
      <c r="B6" t="s">
        <v>31</v>
      </c>
      <c r="C6">
        <v>23</v>
      </c>
      <c r="D6" t="s">
        <v>11</v>
      </c>
      <c r="E6" t="s">
        <v>26</v>
      </c>
      <c r="F6" t="s">
        <v>27</v>
      </c>
      <c r="G6" t="s">
        <v>32</v>
      </c>
      <c r="H6" t="s">
        <v>33</v>
      </c>
      <c r="I6" t="s">
        <v>16</v>
      </c>
      <c r="J6" s="1">
        <v>46003</v>
      </c>
    </row>
    <row r="7" spans="1:10" x14ac:dyDescent="0.25">
      <c r="A7">
        <v>6</v>
      </c>
      <c r="B7" t="s">
        <v>34</v>
      </c>
      <c r="C7">
        <v>24</v>
      </c>
      <c r="D7" t="s">
        <v>35</v>
      </c>
      <c r="E7" t="s">
        <v>36</v>
      </c>
      <c r="F7" t="s">
        <v>37</v>
      </c>
      <c r="G7" t="s">
        <v>38</v>
      </c>
      <c r="H7" t="s">
        <v>39</v>
      </c>
      <c r="I7" t="s">
        <v>40</v>
      </c>
      <c r="J7" s="1">
        <v>46003</v>
      </c>
    </row>
    <row r="8" spans="1:10" x14ac:dyDescent="0.25">
      <c r="A8">
        <v>7</v>
      </c>
      <c r="B8" t="s">
        <v>41</v>
      </c>
      <c r="C8">
        <v>24</v>
      </c>
      <c r="D8" t="s">
        <v>11</v>
      </c>
      <c r="E8" t="s">
        <v>42</v>
      </c>
      <c r="F8" t="s">
        <v>43</v>
      </c>
      <c r="G8" t="s">
        <v>44</v>
      </c>
      <c r="H8" t="s">
        <v>45</v>
      </c>
      <c r="I8" t="s">
        <v>46</v>
      </c>
      <c r="J8" s="1">
        <v>45662</v>
      </c>
    </row>
    <row r="9" spans="1:10" x14ac:dyDescent="0.25">
      <c r="A9">
        <v>9</v>
      </c>
      <c r="B9" t="s">
        <v>47</v>
      </c>
      <c r="C9">
        <v>31</v>
      </c>
      <c r="D9" t="s">
        <v>35</v>
      </c>
      <c r="E9" t="s">
        <v>18</v>
      </c>
      <c r="F9" t="s">
        <v>48</v>
      </c>
      <c r="G9" t="s">
        <v>23</v>
      </c>
      <c r="H9" t="s">
        <v>49</v>
      </c>
      <c r="I9" t="s">
        <v>40</v>
      </c>
      <c r="J9" s="1">
        <v>45663</v>
      </c>
    </row>
    <row r="10" spans="1:10" x14ac:dyDescent="0.25">
      <c r="A10">
        <v>10</v>
      </c>
      <c r="B10" t="s">
        <v>50</v>
      </c>
      <c r="C10">
        <v>19</v>
      </c>
      <c r="D10" t="s">
        <v>11</v>
      </c>
      <c r="E10" t="s">
        <v>51</v>
      </c>
      <c r="F10" t="s">
        <v>52</v>
      </c>
      <c r="G10" t="s">
        <v>32</v>
      </c>
      <c r="H10" t="s">
        <v>53</v>
      </c>
      <c r="I10" t="s">
        <v>46</v>
      </c>
      <c r="J10" s="1">
        <v>45663</v>
      </c>
    </row>
    <row r="11" spans="1:10" x14ac:dyDescent="0.25">
      <c r="A11">
        <v>11</v>
      </c>
      <c r="B11" t="s">
        <v>54</v>
      </c>
      <c r="C11">
        <v>28</v>
      </c>
      <c r="D11" t="s">
        <v>35</v>
      </c>
      <c r="E11" t="s">
        <v>55</v>
      </c>
      <c r="F11" t="s">
        <v>56</v>
      </c>
      <c r="G11" t="s">
        <v>14</v>
      </c>
      <c r="H11" t="s">
        <v>57</v>
      </c>
      <c r="I11" t="s">
        <v>40</v>
      </c>
      <c r="J11" s="1">
        <v>45664</v>
      </c>
    </row>
    <row r="12" spans="1:10" x14ac:dyDescent="0.25">
      <c r="A12">
        <v>12</v>
      </c>
      <c r="B12" t="s">
        <v>58</v>
      </c>
      <c r="C12">
        <v>35</v>
      </c>
      <c r="D12" t="s">
        <v>11</v>
      </c>
      <c r="E12" t="s">
        <v>59</v>
      </c>
      <c r="F12" t="s">
        <v>60</v>
      </c>
      <c r="G12" t="s">
        <v>38</v>
      </c>
      <c r="H12" t="s">
        <v>61</v>
      </c>
      <c r="I12" t="s">
        <v>46</v>
      </c>
      <c r="J12" s="1">
        <v>45665</v>
      </c>
    </row>
    <row r="13" spans="1:10" x14ac:dyDescent="0.25">
      <c r="A13">
        <v>13</v>
      </c>
      <c r="B13" t="s">
        <v>62</v>
      </c>
      <c r="C13">
        <v>22</v>
      </c>
      <c r="D13" t="s">
        <v>35</v>
      </c>
      <c r="E13" t="s">
        <v>63</v>
      </c>
      <c r="F13" t="s">
        <v>64</v>
      </c>
      <c r="G13" t="s">
        <v>65</v>
      </c>
      <c r="H13" t="s">
        <v>66</v>
      </c>
      <c r="I13" t="s">
        <v>46</v>
      </c>
      <c r="J13" s="1">
        <v>45665</v>
      </c>
    </row>
    <row r="14" spans="1:10" x14ac:dyDescent="0.25">
      <c r="A14">
        <v>14</v>
      </c>
      <c r="B14" t="s">
        <v>67</v>
      </c>
      <c r="C14">
        <v>27</v>
      </c>
      <c r="D14" t="s">
        <v>11</v>
      </c>
      <c r="E14" t="s">
        <v>68</v>
      </c>
      <c r="F14" t="s">
        <v>69</v>
      </c>
      <c r="G14" t="s">
        <v>14</v>
      </c>
      <c r="H14" t="s">
        <v>70</v>
      </c>
      <c r="I14" t="s">
        <v>40</v>
      </c>
      <c r="J14" s="1">
        <v>45666</v>
      </c>
    </row>
    <row r="15" spans="1:10" x14ac:dyDescent="0.25">
      <c r="A15">
        <v>15</v>
      </c>
      <c r="B15" t="s">
        <v>71</v>
      </c>
      <c r="C15">
        <v>30</v>
      </c>
      <c r="D15" t="s">
        <v>35</v>
      </c>
      <c r="E15" t="s">
        <v>72</v>
      </c>
      <c r="F15" t="s">
        <v>73</v>
      </c>
      <c r="G15" t="s">
        <v>74</v>
      </c>
      <c r="H15" t="s">
        <v>75</v>
      </c>
      <c r="I15" t="s">
        <v>16</v>
      </c>
      <c r="J15" s="1">
        <v>45667</v>
      </c>
    </row>
    <row r="16" spans="1:10" x14ac:dyDescent="0.25">
      <c r="A16">
        <v>16</v>
      </c>
      <c r="B16" t="s">
        <v>76</v>
      </c>
      <c r="C16">
        <v>40</v>
      </c>
      <c r="D16" t="s">
        <v>11</v>
      </c>
      <c r="E16" t="s">
        <v>26</v>
      </c>
      <c r="F16" t="s">
        <v>77</v>
      </c>
      <c r="G16" t="s">
        <v>38</v>
      </c>
      <c r="H16" t="s">
        <v>78</v>
      </c>
      <c r="I16" t="s">
        <v>40</v>
      </c>
      <c r="J16" s="1">
        <v>45668</v>
      </c>
    </row>
    <row r="17" spans="1:10" x14ac:dyDescent="0.25">
      <c r="A17">
        <v>17</v>
      </c>
      <c r="B17" t="s">
        <v>79</v>
      </c>
      <c r="C17">
        <v>21</v>
      </c>
      <c r="D17" t="s">
        <v>35</v>
      </c>
      <c r="E17" t="s">
        <v>80</v>
      </c>
      <c r="F17" t="s">
        <v>81</v>
      </c>
      <c r="G17" t="s">
        <v>23</v>
      </c>
      <c r="H17" t="s">
        <v>82</v>
      </c>
      <c r="I17" t="s">
        <v>46</v>
      </c>
      <c r="J17" s="1">
        <v>45668</v>
      </c>
    </row>
    <row r="18" spans="1:10" x14ac:dyDescent="0.25">
      <c r="A18">
        <v>18</v>
      </c>
      <c r="B18" t="s">
        <v>83</v>
      </c>
      <c r="C18">
        <v>25</v>
      </c>
      <c r="D18" t="s">
        <v>11</v>
      </c>
      <c r="E18" t="s">
        <v>84</v>
      </c>
      <c r="F18" t="s">
        <v>85</v>
      </c>
      <c r="G18" t="s">
        <v>28</v>
      </c>
      <c r="H18" t="s">
        <v>86</v>
      </c>
      <c r="I18" t="s">
        <v>30</v>
      </c>
      <c r="J18" s="1">
        <v>45669</v>
      </c>
    </row>
    <row r="19" spans="1:10" x14ac:dyDescent="0.25">
      <c r="A19">
        <v>19</v>
      </c>
      <c r="B19" t="s">
        <v>87</v>
      </c>
      <c r="C19">
        <v>23</v>
      </c>
      <c r="D19" t="s">
        <v>35</v>
      </c>
      <c r="E19" t="s">
        <v>88</v>
      </c>
      <c r="F19" t="s">
        <v>89</v>
      </c>
      <c r="G19" t="s">
        <v>44</v>
      </c>
      <c r="H19" t="s">
        <v>90</v>
      </c>
      <c r="I19" t="s">
        <v>46</v>
      </c>
      <c r="J19" s="1">
        <v>45670</v>
      </c>
    </row>
    <row r="20" spans="1:10" x14ac:dyDescent="0.25">
      <c r="A20">
        <v>20</v>
      </c>
      <c r="B20" t="s">
        <v>91</v>
      </c>
      <c r="C20">
        <v>29</v>
      </c>
      <c r="D20" t="s">
        <v>92</v>
      </c>
      <c r="E20" t="s">
        <v>93</v>
      </c>
      <c r="F20" t="s">
        <v>94</v>
      </c>
      <c r="G20" t="s">
        <v>14</v>
      </c>
      <c r="H20" t="s">
        <v>95</v>
      </c>
      <c r="I20" t="s">
        <v>40</v>
      </c>
      <c r="J20" s="1">
        <v>45670</v>
      </c>
    </row>
    <row r="21" spans="1:10" x14ac:dyDescent="0.25">
      <c r="A21">
        <v>21</v>
      </c>
      <c r="B21" t="s">
        <v>96</v>
      </c>
      <c r="C21">
        <v>21</v>
      </c>
      <c r="D21" t="s">
        <v>92</v>
      </c>
      <c r="E21" t="s">
        <v>97</v>
      </c>
      <c r="F21" t="s">
        <v>98</v>
      </c>
      <c r="G21" t="s">
        <v>23</v>
      </c>
      <c r="H21" t="s">
        <v>99</v>
      </c>
      <c r="I21" t="s">
        <v>16</v>
      </c>
      <c r="J21" s="1">
        <v>46003</v>
      </c>
    </row>
    <row r="22" spans="1:10" x14ac:dyDescent="0.25">
      <c r="A22">
        <v>22</v>
      </c>
      <c r="B22" t="s">
        <v>100</v>
      </c>
      <c r="C22">
        <v>0</v>
      </c>
      <c r="D22" t="s">
        <v>92</v>
      </c>
      <c r="E22" t="s">
        <v>101</v>
      </c>
      <c r="F22" t="s">
        <v>102</v>
      </c>
      <c r="G22" t="s">
        <v>65</v>
      </c>
      <c r="H22" t="s">
        <v>103</v>
      </c>
      <c r="I22" t="s">
        <v>40</v>
      </c>
      <c r="J22" s="1">
        <v>45689</v>
      </c>
    </row>
    <row r="23" spans="1:10" x14ac:dyDescent="0.25">
      <c r="A23">
        <v>23</v>
      </c>
      <c r="B23" t="s">
        <v>104</v>
      </c>
      <c r="C23">
        <v>0</v>
      </c>
      <c r="D23" t="s">
        <v>11</v>
      </c>
      <c r="E23" t="s">
        <v>105</v>
      </c>
      <c r="F23" t="s">
        <v>106</v>
      </c>
      <c r="G23" t="s">
        <v>38</v>
      </c>
      <c r="H23" t="s">
        <v>107</v>
      </c>
      <c r="I23" t="s">
        <v>46</v>
      </c>
      <c r="J23" s="1">
        <v>46003</v>
      </c>
    </row>
    <row r="24" spans="1:10" x14ac:dyDescent="0.25">
      <c r="A24">
        <v>24</v>
      </c>
      <c r="B24" t="s">
        <v>113</v>
      </c>
      <c r="C24">
        <v>42</v>
      </c>
      <c r="D24" t="s">
        <v>11</v>
      </c>
      <c r="E24" t="s">
        <v>12</v>
      </c>
      <c r="F24" t="s">
        <v>114</v>
      </c>
      <c r="G24" t="s">
        <v>32</v>
      </c>
      <c r="H24" t="s">
        <v>115</v>
      </c>
      <c r="I24" t="s">
        <v>46</v>
      </c>
      <c r="J24" s="1">
        <v>46003</v>
      </c>
    </row>
    <row r="25" spans="1:10" x14ac:dyDescent="0.25">
      <c r="A25">
        <v>25</v>
      </c>
      <c r="B25" t="s">
        <v>120</v>
      </c>
      <c r="C25">
        <v>21</v>
      </c>
      <c r="D25" t="s">
        <v>35</v>
      </c>
      <c r="E25" t="s">
        <v>42</v>
      </c>
      <c r="F25" t="s">
        <v>121</v>
      </c>
      <c r="G25" t="s">
        <v>23</v>
      </c>
      <c r="H25" t="s">
        <v>122</v>
      </c>
      <c r="I25" t="s">
        <v>40</v>
      </c>
      <c r="J25" s="1">
        <v>46003</v>
      </c>
    </row>
    <row r="26" spans="1:10" x14ac:dyDescent="0.25">
      <c r="A26">
        <v>26</v>
      </c>
      <c r="B26" t="s">
        <v>123</v>
      </c>
      <c r="C26">
        <v>32</v>
      </c>
      <c r="D26" t="s">
        <v>11</v>
      </c>
      <c r="E26" t="s">
        <v>42</v>
      </c>
      <c r="F26" t="s">
        <v>124</v>
      </c>
      <c r="G26" t="s">
        <v>14</v>
      </c>
      <c r="H26" t="s">
        <v>125</v>
      </c>
      <c r="I26" t="s">
        <v>46</v>
      </c>
      <c r="J26" s="1">
        <v>46003</v>
      </c>
    </row>
    <row r="27" spans="1:10" x14ac:dyDescent="0.25">
      <c r="A27">
        <v>27</v>
      </c>
      <c r="B27" t="s">
        <v>126</v>
      </c>
      <c r="C27">
        <v>42</v>
      </c>
      <c r="D27" t="s">
        <v>11</v>
      </c>
      <c r="E27" t="s">
        <v>12</v>
      </c>
      <c r="F27" t="s">
        <v>127</v>
      </c>
      <c r="G27" t="s">
        <v>74</v>
      </c>
      <c r="H27" t="s">
        <v>128</v>
      </c>
      <c r="I27" t="s">
        <v>46</v>
      </c>
      <c r="J27" s="1">
        <v>46003</v>
      </c>
    </row>
    <row r="28" spans="1:10" x14ac:dyDescent="0.25">
      <c r="A28">
        <v>28</v>
      </c>
      <c r="B28" t="s">
        <v>129</v>
      </c>
      <c r="C28">
        <v>34</v>
      </c>
      <c r="D28" t="s">
        <v>11</v>
      </c>
      <c r="E28" t="s">
        <v>97</v>
      </c>
      <c r="F28" t="s">
        <v>130</v>
      </c>
      <c r="G28" t="s">
        <v>14</v>
      </c>
      <c r="H28" t="s">
        <v>131</v>
      </c>
      <c r="I28" t="s">
        <v>16</v>
      </c>
      <c r="J28" s="1">
        <v>46003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5165-BAEB-4DD1-93B2-1B0DE4BC9F86}">
  <dimension ref="X4:Y30"/>
  <sheetViews>
    <sheetView zoomScale="70" zoomScaleNormal="70" workbookViewId="0">
      <selection activeCell="AB30" sqref="AB30"/>
    </sheetView>
  </sheetViews>
  <sheetFormatPr defaultRowHeight="15" x14ac:dyDescent="0.25"/>
  <cols>
    <col min="1" max="1" width="24.7109375" style="2" customWidth="1"/>
    <col min="2" max="23" width="9.140625" style="2"/>
    <col min="24" max="24" width="29.7109375" style="2" customWidth="1"/>
    <col min="25" max="25" width="5.85546875" style="2" customWidth="1"/>
    <col min="26" max="16384" width="9.140625" style="2"/>
  </cols>
  <sheetData>
    <row r="4" ht="3" customHeight="1" x14ac:dyDescent="0.25"/>
    <row r="5" hidden="1" x14ac:dyDescent="0.25"/>
    <row r="6" hidden="1" x14ac:dyDescent="0.25"/>
    <row r="7" hidden="1" x14ac:dyDescent="0.25"/>
    <row r="8" hidden="1" x14ac:dyDescent="0.25"/>
    <row r="9" hidden="1" x14ac:dyDescent="0.25"/>
    <row r="10" hidden="1" x14ac:dyDescent="0.25"/>
    <row r="11" hidden="1" x14ac:dyDescent="0.25"/>
    <row r="12" hidden="1" x14ac:dyDescent="0.25"/>
    <row r="13" hidden="1" x14ac:dyDescent="0.25"/>
    <row r="14" hidden="1" x14ac:dyDescent="0.25"/>
    <row r="27" spans="24:25" ht="8.25" customHeight="1" x14ac:dyDescent="0.25"/>
    <row r="28" spans="24:25" ht="10.5" hidden="1" customHeight="1" x14ac:dyDescent="1.65">
      <c r="Y28" s="5"/>
    </row>
    <row r="29" spans="24:25" hidden="1" x14ac:dyDescent="0.25"/>
    <row r="30" spans="24:25" ht="174.75" customHeight="1" x14ac:dyDescent="0.25">
      <c r="X30" s="6">
        <f>COUNTA(tbl_consultation!A2:A1001)</f>
        <v>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F13E-4E44-4875-929B-65CB869D7D10}">
  <dimension ref="A3:B22"/>
  <sheetViews>
    <sheetView workbookViewId="0">
      <selection activeCell="F35" sqref="F35"/>
    </sheetView>
  </sheetViews>
  <sheetFormatPr defaultRowHeight="15" x14ac:dyDescent="0.25"/>
  <cols>
    <col min="1" max="1" width="13.140625" bestFit="1" customWidth="1"/>
    <col min="2" max="2" width="17.28515625" bestFit="1" customWidth="1"/>
  </cols>
  <sheetData>
    <row r="3" spans="1:2" x14ac:dyDescent="0.25">
      <c r="A3" s="3" t="s">
        <v>108</v>
      </c>
      <c r="B3" t="s">
        <v>110</v>
      </c>
    </row>
    <row r="4" spans="1:2" x14ac:dyDescent="0.25">
      <c r="A4" s="4" t="s">
        <v>101</v>
      </c>
      <c r="B4" s="8">
        <v>1</v>
      </c>
    </row>
    <row r="5" spans="1:2" x14ac:dyDescent="0.25">
      <c r="A5" s="4" t="s">
        <v>105</v>
      </c>
      <c r="B5" s="8">
        <v>1</v>
      </c>
    </row>
    <row r="6" spans="1:2" x14ac:dyDescent="0.25">
      <c r="A6" s="4" t="s">
        <v>18</v>
      </c>
      <c r="B6" s="8">
        <v>2</v>
      </c>
    </row>
    <row r="7" spans="1:2" x14ac:dyDescent="0.25">
      <c r="A7" s="4" t="s">
        <v>97</v>
      </c>
      <c r="B7" s="8">
        <v>1</v>
      </c>
    </row>
    <row r="8" spans="1:2" x14ac:dyDescent="0.25">
      <c r="A8" s="4" t="s">
        <v>51</v>
      </c>
      <c r="B8" s="8">
        <v>1</v>
      </c>
    </row>
    <row r="9" spans="1:2" x14ac:dyDescent="0.25">
      <c r="A9" s="4" t="s">
        <v>72</v>
      </c>
      <c r="B9" s="8">
        <v>1</v>
      </c>
    </row>
    <row r="10" spans="1:2" x14ac:dyDescent="0.25">
      <c r="A10" s="4" t="s">
        <v>26</v>
      </c>
      <c r="B10" s="8">
        <v>3</v>
      </c>
    </row>
    <row r="11" spans="1:2" x14ac:dyDescent="0.25">
      <c r="A11" s="4" t="s">
        <v>42</v>
      </c>
      <c r="B11" s="8">
        <v>2</v>
      </c>
    </row>
    <row r="12" spans="1:2" x14ac:dyDescent="0.25">
      <c r="A12" s="4" t="s">
        <v>36</v>
      </c>
      <c r="B12" s="8">
        <v>1</v>
      </c>
    </row>
    <row r="13" spans="1:2" x14ac:dyDescent="0.25">
      <c r="A13" s="4" t="s">
        <v>84</v>
      </c>
      <c r="B13" s="8">
        <v>1</v>
      </c>
    </row>
    <row r="14" spans="1:2" x14ac:dyDescent="0.25">
      <c r="A14" s="4" t="s">
        <v>63</v>
      </c>
      <c r="B14" s="8">
        <v>1</v>
      </c>
    </row>
    <row r="15" spans="1:2" x14ac:dyDescent="0.25">
      <c r="A15" s="4" t="s">
        <v>93</v>
      </c>
      <c r="B15" s="8">
        <v>1</v>
      </c>
    </row>
    <row r="16" spans="1:2" x14ac:dyDescent="0.25">
      <c r="A16" s="4" t="s">
        <v>55</v>
      </c>
      <c r="B16" s="8">
        <v>1</v>
      </c>
    </row>
    <row r="17" spans="1:2" x14ac:dyDescent="0.25">
      <c r="A17" s="4" t="s">
        <v>12</v>
      </c>
      <c r="B17" s="8">
        <v>4</v>
      </c>
    </row>
    <row r="18" spans="1:2" x14ac:dyDescent="0.25">
      <c r="A18" s="4" t="s">
        <v>59</v>
      </c>
      <c r="B18" s="8">
        <v>1</v>
      </c>
    </row>
    <row r="19" spans="1:2" x14ac:dyDescent="0.25">
      <c r="A19" s="4" t="s">
        <v>80</v>
      </c>
      <c r="B19" s="8">
        <v>1</v>
      </c>
    </row>
    <row r="20" spans="1:2" x14ac:dyDescent="0.25">
      <c r="A20" s="4" t="s">
        <v>88</v>
      </c>
      <c r="B20" s="8">
        <v>1</v>
      </c>
    </row>
    <row r="21" spans="1:2" x14ac:dyDescent="0.25">
      <c r="A21" s="4" t="s">
        <v>68</v>
      </c>
      <c r="B21" s="8">
        <v>1</v>
      </c>
    </row>
    <row r="22" spans="1:2" x14ac:dyDescent="0.25">
      <c r="A22" s="4" t="s">
        <v>109</v>
      </c>
      <c r="B22" s="8">
        <v>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210E-22CE-4357-844D-D9348320D09B}">
  <dimension ref="A3:B7"/>
  <sheetViews>
    <sheetView workbookViewId="0">
      <selection activeCell="A3" sqref="A3"/>
    </sheetView>
  </sheetViews>
  <sheetFormatPr defaultRowHeight="15" x14ac:dyDescent="0.25"/>
  <cols>
    <col min="1" max="1" width="13.140625" bestFit="1" customWidth="1"/>
    <col min="2" max="2" width="15.42578125" bestFit="1" customWidth="1"/>
  </cols>
  <sheetData>
    <row r="3" spans="1:2" x14ac:dyDescent="0.25">
      <c r="A3" s="3" t="s">
        <v>108</v>
      </c>
      <c r="B3" t="s">
        <v>111</v>
      </c>
    </row>
    <row r="4" spans="1:2" x14ac:dyDescent="0.25">
      <c r="A4" s="4" t="s">
        <v>35</v>
      </c>
      <c r="B4" s="8">
        <v>8</v>
      </c>
    </row>
    <row r="5" spans="1:2" x14ac:dyDescent="0.25">
      <c r="A5" s="4" t="s">
        <v>11</v>
      </c>
      <c r="B5" s="8">
        <v>14</v>
      </c>
    </row>
    <row r="6" spans="1:2" x14ac:dyDescent="0.25">
      <c r="A6" s="4" t="s">
        <v>92</v>
      </c>
      <c r="B6" s="8">
        <v>3</v>
      </c>
    </row>
    <row r="7" spans="1:2" x14ac:dyDescent="0.25">
      <c r="A7" s="4" t="s">
        <v>109</v>
      </c>
      <c r="B7" s="8">
        <v>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D2233-FDE8-4BC3-A23C-8D8BB434A194}">
  <dimension ref="A3:B13"/>
  <sheetViews>
    <sheetView workbookViewId="0">
      <selection activeCell="A3" sqref="A3"/>
    </sheetView>
  </sheetViews>
  <sheetFormatPr defaultRowHeight="15" x14ac:dyDescent="0.25"/>
  <cols>
    <col min="1" max="1" width="13.140625" bestFit="1" customWidth="1"/>
    <col min="2" max="2" width="31.28515625" bestFit="1" customWidth="1"/>
    <col min="3" max="3" width="8.28515625" bestFit="1" customWidth="1"/>
    <col min="4" max="4" width="11" bestFit="1" customWidth="1"/>
    <col min="5" max="5" width="5.7109375" bestFit="1" customWidth="1"/>
    <col min="6" max="6" width="9" bestFit="1" customWidth="1"/>
    <col min="7" max="7" width="11" bestFit="1" customWidth="1"/>
    <col min="8" max="8" width="4.85546875" bestFit="1" customWidth="1"/>
    <col min="9" max="9" width="4.5703125" bestFit="1" customWidth="1"/>
    <col min="10" max="10" width="8.140625" bestFit="1" customWidth="1"/>
    <col min="11" max="11" width="11.28515625" bestFit="1" customWidth="1"/>
  </cols>
  <sheetData>
    <row r="3" spans="1:2" x14ac:dyDescent="0.25">
      <c r="A3" s="3" t="s">
        <v>108</v>
      </c>
      <c r="B3" t="s">
        <v>112</v>
      </c>
    </row>
    <row r="4" spans="1:2" x14ac:dyDescent="0.25">
      <c r="A4" s="4" t="s">
        <v>38</v>
      </c>
      <c r="B4" s="8">
        <v>4</v>
      </c>
    </row>
    <row r="5" spans="1:2" x14ac:dyDescent="0.25">
      <c r="A5" s="4" t="s">
        <v>44</v>
      </c>
      <c r="B5" s="8">
        <v>1</v>
      </c>
    </row>
    <row r="6" spans="1:2" x14ac:dyDescent="0.25">
      <c r="A6" s="4" t="s">
        <v>23</v>
      </c>
      <c r="B6" s="8">
        <v>5</v>
      </c>
    </row>
    <row r="7" spans="1:2" x14ac:dyDescent="0.25">
      <c r="A7" s="4" t="s">
        <v>20</v>
      </c>
      <c r="B7" s="8">
        <v>1</v>
      </c>
    </row>
    <row r="8" spans="1:2" x14ac:dyDescent="0.25">
      <c r="A8" s="4" t="s">
        <v>28</v>
      </c>
      <c r="B8" s="8">
        <v>2</v>
      </c>
    </row>
    <row r="9" spans="1:2" x14ac:dyDescent="0.25">
      <c r="A9" s="4" t="s">
        <v>65</v>
      </c>
      <c r="B9" s="8">
        <v>2</v>
      </c>
    </row>
    <row r="10" spans="1:2" x14ac:dyDescent="0.25">
      <c r="A10" s="4" t="s">
        <v>14</v>
      </c>
      <c r="B10" s="8">
        <v>5</v>
      </c>
    </row>
    <row r="11" spans="1:2" x14ac:dyDescent="0.25">
      <c r="A11" s="4" t="s">
        <v>74</v>
      </c>
      <c r="B11" s="8">
        <v>2</v>
      </c>
    </row>
    <row r="12" spans="1:2" x14ac:dyDescent="0.25">
      <c r="A12" s="4" t="s">
        <v>32</v>
      </c>
      <c r="B12" s="8">
        <v>3</v>
      </c>
    </row>
    <row r="13" spans="1:2" x14ac:dyDescent="0.25">
      <c r="A13" s="4" t="s">
        <v>109</v>
      </c>
      <c r="B13" s="8">
        <v>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E5770-CCA5-4ADE-9108-407D4DCBED0E}">
  <dimension ref="A3:B8"/>
  <sheetViews>
    <sheetView workbookViewId="0">
      <selection activeCell="A3" sqref="A3"/>
    </sheetView>
  </sheetViews>
  <sheetFormatPr defaultRowHeight="15" x14ac:dyDescent="0.25"/>
  <cols>
    <col min="1" max="1" width="13.140625" bestFit="1" customWidth="1"/>
    <col min="2" max="2" width="17" bestFit="1" customWidth="1"/>
  </cols>
  <sheetData>
    <row r="3" spans="1:2" x14ac:dyDescent="0.25">
      <c r="A3" s="3" t="s">
        <v>108</v>
      </c>
      <c r="B3" t="s">
        <v>116</v>
      </c>
    </row>
    <row r="4" spans="1:2" x14ac:dyDescent="0.25">
      <c r="A4" s="4" t="s">
        <v>46</v>
      </c>
      <c r="B4" s="8">
        <v>9</v>
      </c>
    </row>
    <row r="5" spans="1:2" x14ac:dyDescent="0.25">
      <c r="A5" s="4" t="s">
        <v>40</v>
      </c>
      <c r="B5" s="8">
        <v>8</v>
      </c>
    </row>
    <row r="6" spans="1:2" x14ac:dyDescent="0.25">
      <c r="A6" s="4" t="s">
        <v>30</v>
      </c>
      <c r="B6" s="8">
        <v>2</v>
      </c>
    </row>
    <row r="7" spans="1:2" x14ac:dyDescent="0.25">
      <c r="A7" s="4" t="s">
        <v>16</v>
      </c>
      <c r="B7" s="8">
        <v>6</v>
      </c>
    </row>
    <row r="8" spans="1:2" x14ac:dyDescent="0.25">
      <c r="A8" s="4" t="s">
        <v>109</v>
      </c>
      <c r="B8" s="8">
        <v>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8AE31-9D5A-4383-951B-B385E55A4F9E}">
  <dimension ref="A3:B7"/>
  <sheetViews>
    <sheetView workbookViewId="0">
      <selection activeCell="A3" sqref="A3"/>
    </sheetView>
  </sheetViews>
  <sheetFormatPr defaultRowHeight="15" x14ac:dyDescent="0.25"/>
  <cols>
    <col min="1" max="1" width="13.140625" bestFit="1" customWidth="1"/>
    <col min="2" max="2" width="25.5703125" bestFit="1" customWidth="1"/>
  </cols>
  <sheetData>
    <row r="3" spans="1:2" x14ac:dyDescent="0.25">
      <c r="A3" s="3" t="s">
        <v>108</v>
      </c>
      <c r="B3" t="s">
        <v>119</v>
      </c>
    </row>
    <row r="4" spans="1:2" x14ac:dyDescent="0.25">
      <c r="A4" s="4" t="s">
        <v>117</v>
      </c>
      <c r="B4" s="8">
        <v>12</v>
      </c>
    </row>
    <row r="5" spans="1:2" x14ac:dyDescent="0.25">
      <c r="A5" s="4" t="s">
        <v>132</v>
      </c>
      <c r="B5" s="8">
        <v>1</v>
      </c>
    </row>
    <row r="6" spans="1:2" x14ac:dyDescent="0.25">
      <c r="A6" s="4" t="s">
        <v>118</v>
      </c>
      <c r="B6" s="8">
        <v>12</v>
      </c>
    </row>
    <row r="7" spans="1:2" x14ac:dyDescent="0.25">
      <c r="A7" s="4" t="s">
        <v>109</v>
      </c>
      <c r="B7" s="8">
        <v>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AA9D8-B37A-4693-85AB-488058C1DA1F}">
  <dimension ref="A3:A56"/>
  <sheetViews>
    <sheetView workbookViewId="0">
      <selection activeCell="A3" sqref="A3"/>
    </sheetView>
  </sheetViews>
  <sheetFormatPr defaultRowHeight="15" x14ac:dyDescent="0.25"/>
  <cols>
    <col min="1" max="1" width="20.42578125" bestFit="1" customWidth="1"/>
    <col min="2" max="2" width="18.28515625" bestFit="1" customWidth="1"/>
    <col min="3" max="3" width="25.5703125" bestFit="1" customWidth="1"/>
    <col min="4" max="26" width="18.5703125" bestFit="1" customWidth="1"/>
    <col min="27" max="28" width="11.28515625" bestFit="1" customWidth="1"/>
  </cols>
  <sheetData>
    <row r="3" spans="1:1" x14ac:dyDescent="0.25">
      <c r="A3" s="3" t="s">
        <v>108</v>
      </c>
    </row>
    <row r="4" spans="1:1" x14ac:dyDescent="0.25">
      <c r="A4" s="4" t="s">
        <v>54</v>
      </c>
    </row>
    <row r="5" spans="1:1" x14ac:dyDescent="0.25">
      <c r="A5" s="7">
        <v>45664</v>
      </c>
    </row>
    <row r="6" spans="1:1" x14ac:dyDescent="0.25">
      <c r="A6" s="4" t="s">
        <v>120</v>
      </c>
    </row>
    <row r="7" spans="1:1" x14ac:dyDescent="0.25">
      <c r="A7" s="7">
        <v>46003</v>
      </c>
    </row>
    <row r="8" spans="1:1" x14ac:dyDescent="0.25">
      <c r="A8" s="4" t="s">
        <v>113</v>
      </c>
    </row>
    <row r="9" spans="1:1" x14ac:dyDescent="0.25">
      <c r="A9" s="7">
        <v>46003</v>
      </c>
    </row>
    <row r="10" spans="1:1" x14ac:dyDescent="0.25">
      <c r="A10" s="4" t="s">
        <v>104</v>
      </c>
    </row>
    <row r="11" spans="1:1" x14ac:dyDescent="0.25">
      <c r="A11" s="7">
        <v>46003</v>
      </c>
    </row>
    <row r="12" spans="1:1" x14ac:dyDescent="0.25">
      <c r="A12" s="4" t="s">
        <v>25</v>
      </c>
    </row>
    <row r="13" spans="1:1" x14ac:dyDescent="0.25">
      <c r="A13" s="7">
        <v>46003</v>
      </c>
    </row>
    <row r="14" spans="1:1" x14ac:dyDescent="0.25">
      <c r="A14" s="4" t="s">
        <v>58</v>
      </c>
    </row>
    <row r="15" spans="1:1" x14ac:dyDescent="0.25">
      <c r="A15" s="7">
        <v>45665</v>
      </c>
    </row>
    <row r="16" spans="1:1" x14ac:dyDescent="0.25">
      <c r="A16" s="4" t="s">
        <v>83</v>
      </c>
    </row>
    <row r="17" spans="1:1" x14ac:dyDescent="0.25">
      <c r="A17" s="7">
        <v>45669</v>
      </c>
    </row>
    <row r="18" spans="1:1" x14ac:dyDescent="0.25">
      <c r="A18" s="4" t="s">
        <v>17</v>
      </c>
    </row>
    <row r="19" spans="1:1" x14ac:dyDescent="0.25">
      <c r="A19" s="7">
        <v>46003</v>
      </c>
    </row>
    <row r="20" spans="1:1" x14ac:dyDescent="0.25">
      <c r="A20" s="4" t="s">
        <v>34</v>
      </c>
    </row>
    <row r="21" spans="1:1" x14ac:dyDescent="0.25">
      <c r="A21" s="7">
        <v>46003</v>
      </c>
    </row>
    <row r="22" spans="1:1" x14ac:dyDescent="0.25">
      <c r="A22" s="4" t="s">
        <v>123</v>
      </c>
    </row>
    <row r="23" spans="1:1" x14ac:dyDescent="0.25">
      <c r="A23" s="7">
        <v>46003</v>
      </c>
    </row>
    <row r="24" spans="1:1" x14ac:dyDescent="0.25">
      <c r="A24" s="4" t="s">
        <v>22</v>
      </c>
    </row>
    <row r="25" spans="1:1" x14ac:dyDescent="0.25">
      <c r="A25" s="7">
        <v>46003</v>
      </c>
    </row>
    <row r="26" spans="1:1" x14ac:dyDescent="0.25">
      <c r="A26" s="4" t="s">
        <v>96</v>
      </c>
    </row>
    <row r="27" spans="1:1" x14ac:dyDescent="0.25">
      <c r="A27" s="7">
        <v>46003</v>
      </c>
    </row>
    <row r="28" spans="1:1" x14ac:dyDescent="0.25">
      <c r="A28" s="4" t="s">
        <v>79</v>
      </c>
    </row>
    <row r="29" spans="1:1" x14ac:dyDescent="0.25">
      <c r="A29" s="7">
        <v>45668</v>
      </c>
    </row>
    <row r="30" spans="1:1" x14ac:dyDescent="0.25">
      <c r="A30" s="4" t="s">
        <v>41</v>
      </c>
    </row>
    <row r="31" spans="1:1" x14ac:dyDescent="0.25">
      <c r="A31" s="7">
        <v>45662</v>
      </c>
    </row>
    <row r="32" spans="1:1" x14ac:dyDescent="0.25">
      <c r="A32" s="4" t="s">
        <v>87</v>
      </c>
    </row>
    <row r="33" spans="1:1" x14ac:dyDescent="0.25">
      <c r="A33" s="7">
        <v>45670</v>
      </c>
    </row>
    <row r="34" spans="1:1" x14ac:dyDescent="0.25">
      <c r="A34" s="4" t="s">
        <v>126</v>
      </c>
    </row>
    <row r="35" spans="1:1" x14ac:dyDescent="0.25">
      <c r="A35" s="7">
        <v>46003</v>
      </c>
    </row>
    <row r="36" spans="1:1" x14ac:dyDescent="0.25">
      <c r="A36" s="4" t="s">
        <v>50</v>
      </c>
    </row>
    <row r="37" spans="1:1" x14ac:dyDescent="0.25">
      <c r="A37" s="7">
        <v>45663</v>
      </c>
    </row>
    <row r="38" spans="1:1" x14ac:dyDescent="0.25">
      <c r="A38" s="4" t="s">
        <v>47</v>
      </c>
    </row>
    <row r="39" spans="1:1" x14ac:dyDescent="0.25">
      <c r="A39" s="7">
        <v>45663</v>
      </c>
    </row>
    <row r="40" spans="1:1" x14ac:dyDescent="0.25">
      <c r="A40" s="4" t="s">
        <v>91</v>
      </c>
    </row>
    <row r="41" spans="1:1" x14ac:dyDescent="0.25">
      <c r="A41" s="7">
        <v>45670</v>
      </c>
    </row>
    <row r="42" spans="1:1" x14ac:dyDescent="0.25">
      <c r="A42" s="4" t="s">
        <v>71</v>
      </c>
    </row>
    <row r="43" spans="1:1" x14ac:dyDescent="0.25">
      <c r="A43" s="7">
        <v>45667</v>
      </c>
    </row>
    <row r="44" spans="1:1" x14ac:dyDescent="0.25">
      <c r="A44" s="4" t="s">
        <v>62</v>
      </c>
    </row>
    <row r="45" spans="1:1" x14ac:dyDescent="0.25">
      <c r="A45" s="7">
        <v>45665</v>
      </c>
    </row>
    <row r="46" spans="1:1" x14ac:dyDescent="0.25">
      <c r="A46" s="4" t="s">
        <v>100</v>
      </c>
    </row>
    <row r="47" spans="1:1" x14ac:dyDescent="0.25">
      <c r="A47" s="7">
        <v>45689</v>
      </c>
    </row>
    <row r="48" spans="1:1" x14ac:dyDescent="0.25">
      <c r="A48" s="4" t="s">
        <v>76</v>
      </c>
    </row>
    <row r="49" spans="1:1" x14ac:dyDescent="0.25">
      <c r="A49" s="7">
        <v>45668</v>
      </c>
    </row>
    <row r="50" spans="1:1" x14ac:dyDescent="0.25">
      <c r="A50" s="4" t="s">
        <v>31</v>
      </c>
    </row>
    <row r="51" spans="1:1" x14ac:dyDescent="0.25">
      <c r="A51" s="7">
        <v>46003</v>
      </c>
    </row>
    <row r="52" spans="1:1" x14ac:dyDescent="0.25">
      <c r="A52" s="4" t="s">
        <v>67</v>
      </c>
    </row>
    <row r="53" spans="1:1" x14ac:dyDescent="0.25">
      <c r="A53" s="7">
        <v>45666</v>
      </c>
    </row>
    <row r="54" spans="1:1" x14ac:dyDescent="0.25">
      <c r="A54" s="4" t="s">
        <v>10</v>
      </c>
    </row>
    <row r="55" spans="1:1" x14ac:dyDescent="0.25">
      <c r="A55" s="7">
        <v>46003</v>
      </c>
    </row>
    <row r="56" spans="1:1" x14ac:dyDescent="0.25">
      <c r="A56" s="4" t="s">
        <v>109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4C1C78-A478-4F80-BDA0-C69F0B2486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tbl_consultation</vt:lpstr>
      <vt:lpstr>DashBoard</vt:lpstr>
      <vt:lpstr>Sheet2</vt:lpstr>
      <vt:lpstr>Sheet3</vt:lpstr>
      <vt:lpstr>Sheet4</vt:lpstr>
      <vt:lpstr>Sheet5</vt:lpstr>
      <vt:lpstr>Sheet6</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Odarve</dc:creator>
  <cp:lastModifiedBy>Vincent Odarve</cp:lastModifiedBy>
  <dcterms:created xsi:type="dcterms:W3CDTF">2025-12-12T08:25:45Z</dcterms:created>
  <dcterms:modified xsi:type="dcterms:W3CDTF">2025-12-12T12:47:39Z</dcterms:modified>
</cp:coreProperties>
</file>